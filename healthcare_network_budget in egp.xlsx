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Details" sheetId="2" state="visible" r:id="rId4"/>
    <sheet name="Cost-Benefit 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<sst xmlns="http://schemas.openxmlformats.org/spreadsheetml/2006/main" count="398" uniqueCount="394">
  <si>
    <t xml:space="preserve">Healthcare Network Infrastructure Budget - Alamein International University Project</t>
  </si>
  <si>
    <t xml:space="preserve">COST SUMMARY (All prices in Egyptian Pounds - EGP)</t>
  </si>
  <si>
    <t xml:space="preserve">Category</t>
  </si>
  <si>
    <t xml:space="preserve">Description</t>
  </si>
  <si>
    <t xml:space="preserve">Unit Cost (EGP)</t>
  </si>
  <si>
    <t xml:space="preserve">Quantity</t>
  </si>
  <si>
    <t xml:space="preserve">Subtotal (EGP)</t>
  </si>
  <si>
    <t xml:space="preserve">% of Total</t>
  </si>
  <si>
    <t xml:space="preserve">Core Network</t>
  </si>
  <si>
    <t xml:space="preserve">ISP Router, Firewall, WAN Router</t>
  </si>
  <si>
    <t xml:space="preserve">Core Switches</t>
  </si>
  <si>
    <t xml:space="preserve">Catalyst 3850 Multilayer (2x)</t>
  </si>
  <si>
    <t xml:space="preserve">Access Switches</t>
  </si>
  <si>
    <t xml:space="preserve">Catalyst 2960 (48P &amp; 24P)</t>
  </si>
  <si>
    <t xml:space="preserve">Server Infrastructure</t>
  </si>
  <si>
    <t xml:space="preserve">HP ProLiant, VMware, Storage</t>
  </si>
  <si>
    <t xml:space="preserve">Voice Infrastructure</t>
  </si>
  <si>
    <t xml:space="preserve">VoIP Gateway, IP Phones</t>
  </si>
  <si>
    <t xml:space="preserve">Wireless Infrastructure</t>
  </si>
  <si>
    <t xml:space="preserve">WLC, Access Points</t>
  </si>
  <si>
    <t xml:space="preserve">Cloud Services</t>
  </si>
  <si>
    <t xml:space="preserve">AWS Platform Components</t>
  </si>
  <si>
    <t xml:space="preserve">Network Cabling</t>
  </si>
  <si>
    <t xml:space="preserve">Cat6A, Fiber, Accessories</t>
  </si>
  <si>
    <t xml:space="preserve">End-User Devices</t>
  </si>
  <si>
    <t xml:space="preserve">PCs, Laptops, Tablets, Phones</t>
  </si>
  <si>
    <t xml:space="preserve">Installation &amp; Labor</t>
  </si>
  <si>
    <t xml:space="preserve">Engineering, Testing, Training</t>
  </si>
  <si>
    <t xml:space="preserve">Software Licenses</t>
  </si>
  <si>
    <t xml:space="preserve">OS, Security, Management</t>
  </si>
  <si>
    <t xml:space="preserve">SUBTOTAL - Capital Equipment</t>
  </si>
  <si>
    <t xml:space="preserve">100%</t>
  </si>
  <si>
    <t xml:space="preserve">Implementation Costs</t>
  </si>
  <si>
    <t xml:space="preserve">TOTAL CAPITAL EXPENDITURE</t>
  </si>
  <si>
    <t xml:space="preserve">Annual Operating Costs</t>
  </si>
  <si>
    <t xml:space="preserve">5-Year Total Cost of Ownership</t>
  </si>
  <si>
    <t xml:space="preserve">Exchange Rate Used:</t>
  </si>
  <si>
    <t xml:space="preserve">1 USD = 49.5 EGP</t>
  </si>
  <si>
    <t xml:space="preserve">DETAILED COST BREAKDOWN - Healthcare Network Project</t>
  </si>
  <si>
    <t xml:space="preserve">Item</t>
  </si>
  <si>
    <t xml:space="preserve">Model/Specifications</t>
  </si>
  <si>
    <t xml:space="preserve">Unit Price (USD)</t>
  </si>
  <si>
    <t xml:space="preserve">Unit Price (EGP)</t>
  </si>
  <si>
    <t xml:space="preserve">Qty</t>
  </si>
  <si>
    <t xml:space="preserve">Notes</t>
  </si>
  <si>
    <t xml:space="preserve">CORE NETWORK EQUIPMENT</t>
  </si>
  <si>
    <t xml:space="preserve">ISP Router</t>
  </si>
  <si>
    <t xml:space="preserve">Airtel ISP Router</t>
  </si>
  <si>
    <t xml:space="preserve">Enterprise gateway</t>
  </si>
  <si>
    <t xml:space="preserve">Internet connectivity</t>
  </si>
  <si>
    <t xml:space="preserve">Perimeter Firewall</t>
  </si>
  <si>
    <t xml:space="preserve">Cisco ASA 5505-X</t>
  </si>
  <si>
    <t xml:space="preserve">Stateful inspection, DMZ support</t>
  </si>
  <si>
    <t xml:space="preserve">Security zones &amp; filtering</t>
  </si>
  <si>
    <t xml:space="preserve">WAN Router</t>
  </si>
  <si>
    <t xml:space="preserve">Cisco 2811</t>
  </si>
  <si>
    <t xml:space="preserve">VoIP support, IOS 15.1</t>
  </si>
  <si>
    <t xml:space="preserve">Inter-network routing</t>
  </si>
  <si>
    <t xml:space="preserve">Core Network Subtotal</t>
  </si>
  <si>
    <t xml:space="preserve">CORE SWITCHES</t>
  </si>
  <si>
    <t xml:space="preserve">Core Multilayer Switch</t>
  </si>
  <si>
    <t xml:space="preserve">Cisco Catalyst 3850 48-Port</t>
  </si>
  <si>
    <t xml:space="preserve">Layer 3, StackPower, 480Gbps</t>
  </si>
  <si>
    <t xml:space="preserve">HSRP + EtherChannel</t>
  </si>
  <si>
    <t xml:space="preserve">Core Switches Subtotal</t>
  </si>
  <si>
    <t xml:space="preserve">ACCESS LAYER SWITCHES</t>
  </si>
  <si>
    <t xml:space="preserve">Access Switch 48P</t>
  </si>
  <si>
    <t xml:space="preserve">Cisco Catalyst 2960 48-Port</t>
  </si>
  <si>
    <t xml:space="preserve">PoE+, 740W budget, Layer 2</t>
  </si>
  <si>
    <t xml:space="preserve">35th, 36th, 37th floors</t>
  </si>
  <si>
    <t xml:space="preserve">Access Switch 24P</t>
  </si>
  <si>
    <t xml:space="preserve">Cisco Catalyst 2960 24-Port</t>
  </si>
  <si>
    <t xml:space="preserve">PoE+, 370W budget, Layer 2</t>
  </si>
  <si>
    <t xml:space="preserve">Smaller departments</t>
  </si>
  <si>
    <t xml:space="preserve">Access Switches Subtotal</t>
  </si>
  <si>
    <t xml:space="preserve">SERVER INFRASTRUCTURE</t>
  </si>
  <si>
    <t xml:space="preserve">Rack Server</t>
  </si>
  <si>
    <t xml:space="preserve">HP ProLiant DL380 Gen10</t>
  </si>
  <si>
    <t xml:space="preserve">Xeon Gold, 64GB RAM, RAID</t>
  </si>
  <si>
    <t xml:space="preserve">Redundant ESXi hosts</t>
  </si>
  <si>
    <t xml:space="preserve">Hypervisor License</t>
  </si>
  <si>
    <t xml:space="preserve">VMware ESXi</t>
  </si>
  <si>
    <t xml:space="preserve">Enterprise Plus per socket</t>
  </si>
  <si>
    <t xml:space="preserve">2 servers x 2 sockets</t>
  </si>
  <si>
    <t xml:space="preserve">Directory Server</t>
  </si>
  <si>
    <t xml:space="preserve">Red Hat Directory Server</t>
  </si>
  <si>
    <t xml:space="preserve">LDAP, DNS, DHCP (redundant)</t>
  </si>
  <si>
    <t xml:space="preserve">Primary + backup</t>
  </si>
  <si>
    <t xml:space="preserve">Application Server</t>
  </si>
  <si>
    <t xml:space="preserve">Health Information System</t>
  </si>
  <si>
    <t xml:space="preserve">Patient records management</t>
  </si>
  <si>
    <t xml:space="preserve">EMR/EHR system</t>
  </si>
  <si>
    <t xml:space="preserve">Email Server</t>
  </si>
  <si>
    <t xml:space="preserve">Microsoft Exchange Server</t>
  </si>
  <si>
    <t xml:space="preserve">Std Edition, 500 mailboxes</t>
  </si>
  <si>
    <t xml:space="preserve">Internal communications</t>
  </si>
  <si>
    <t xml:space="preserve">File Server</t>
  </si>
  <si>
    <t xml:space="preserve">Windows Server 2022 Std</t>
  </si>
  <si>
    <t xml:space="preserve">File &amp; print services</t>
  </si>
  <si>
    <t xml:space="preserve">Centralized storage</t>
  </si>
  <si>
    <t xml:space="preserve">Storage Array</t>
  </si>
  <si>
    <t xml:space="preserve">NetApp FAS2750</t>
  </si>
  <si>
    <t xml:space="preserve">24TB usable, dual controller</t>
  </si>
  <si>
    <t xml:space="preserve">Primary + secondary</t>
  </si>
  <si>
    <t xml:space="preserve">Server Rack</t>
  </si>
  <si>
    <t xml:space="preserve">APC NetShelter SX 42U</t>
  </si>
  <si>
    <t xml:space="preserve">PDU, cable management</t>
  </si>
  <si>
    <t xml:space="preserve">Equipment housing</t>
  </si>
  <si>
    <t xml:space="preserve">UPS System</t>
  </si>
  <si>
    <t xml:space="preserve">APC Smart-UPS SRT 10kVA</t>
  </si>
  <si>
    <t xml:space="preserve">Online double conversion</t>
  </si>
  <si>
    <t xml:space="preserve">Power protection</t>
  </si>
  <si>
    <t xml:space="preserve">Server Infrastructure Subtotal</t>
  </si>
  <si>
    <t xml:space="preserve">VOICE INFRASTRUCTURE</t>
  </si>
  <si>
    <t xml:space="preserve">Voice Gateway</t>
  </si>
  <si>
    <t xml:space="preserve">Cisco Voice Gateway</t>
  </si>
  <si>
    <t xml:space="preserve">CUCME, SIP trunk support</t>
  </si>
  <si>
    <t xml:space="preserve">VoIP management</t>
  </si>
  <si>
    <t xml:space="preserve">IP Phones</t>
  </si>
  <si>
    <t xml:space="preserve">Cisco IP Phone 7841</t>
  </si>
  <si>
    <t xml:space="preserve">4-line display, PoE</t>
  </si>
  <si>
    <t xml:space="preserve">Departmental phones</t>
  </si>
  <si>
    <t xml:space="preserve">Voice Infrastructure Subtotal</t>
  </si>
  <si>
    <t xml:space="preserve">WIRELESS INFRASTRUCTURE</t>
  </si>
  <si>
    <t xml:space="preserve">Wireless Controller</t>
  </si>
  <si>
    <t xml:space="preserve">Cisco 2504 WLC</t>
  </si>
  <si>
    <t xml:space="preserve">Centralized AP management</t>
  </si>
  <si>
    <t xml:space="preserve">VLAN 10 management</t>
  </si>
  <si>
    <t xml:space="preserve">Access Points</t>
  </si>
  <si>
    <t xml:space="preserve">Cisco Lightweight AP (LAP)</t>
  </si>
  <si>
    <t xml:space="preserve">802.11ac Wave 2, dual-band</t>
  </si>
  <si>
    <t xml:space="preserve">PH-LAP, DOC-LAP, PRO-LAP</t>
  </si>
  <si>
    <t xml:space="preserve">Wireless Infrastructure Subtotal</t>
  </si>
  <si>
    <t xml:space="preserve">CLOUD SERVICES (AWS)</t>
  </si>
  <si>
    <t xml:space="preserve">EC2 Instances</t>
  </si>
  <si>
    <t xml:space="preserve">AWS EC2 t3.xlarge</t>
  </si>
  <si>
    <t xml:space="preserve">4 vCPU, 16GB RAM (annual)</t>
  </si>
  <si>
    <t xml:space="preserve">Application hosting</t>
  </si>
  <si>
    <t xml:space="preserve">S3 Storage</t>
  </si>
  <si>
    <t xml:space="preserve">AWS S3 Standard</t>
  </si>
  <si>
    <t xml:space="preserve">10TB storage (annual)</t>
  </si>
  <si>
    <t xml:space="preserve">Backup &amp; archive</t>
  </si>
  <si>
    <t xml:space="preserve">RDS Database</t>
  </si>
  <si>
    <t xml:space="preserve">AWS RDS MySQL</t>
  </si>
  <si>
    <t xml:space="preserve">db.r5.large (annual)</t>
  </si>
  <si>
    <t xml:space="preserve">Relational database</t>
  </si>
  <si>
    <t xml:space="preserve">VPN Gateway</t>
  </si>
  <si>
    <t xml:space="preserve">AWS Site-to-Site VPN</t>
  </si>
  <si>
    <t xml:space="preserve">Encrypted tunnel (annual)</t>
  </si>
  <si>
    <t xml:space="preserve">Secure connectivity</t>
  </si>
  <si>
    <t xml:space="preserve">Cloud Services Subtotal</t>
  </si>
  <si>
    <t xml:space="preserve">NETWORK CABLING</t>
  </si>
  <si>
    <t xml:space="preserve">Cat6A Cable</t>
  </si>
  <si>
    <t xml:space="preserve">Structured Cabling System</t>
  </si>
  <si>
    <t xml:space="preserve">UTP, 23 AWG, per drop</t>
  </si>
  <si>
    <t xml:space="preserve">All workstations</t>
  </si>
  <si>
    <t xml:space="preserve">Fiber Backbone</t>
  </si>
  <si>
    <t xml:space="preserve">OM4 Multimode 12-strand</t>
  </si>
  <si>
    <t xml:space="preserve">LC/LC, 300m rated</t>
  </si>
  <si>
    <t xml:space="preserve">Floor-to-floor links</t>
  </si>
  <si>
    <t xml:space="preserve">SFP+ Transceivers</t>
  </si>
  <si>
    <t xml:space="preserve">10GBASE-SR SFP+</t>
  </si>
  <si>
    <t xml:space="preserve">Cisco compatible, 300m</t>
  </si>
  <si>
    <t xml:space="preserve">Core uplinks</t>
  </si>
  <si>
    <t xml:space="preserve">Patch Panels</t>
  </si>
  <si>
    <t xml:space="preserve">48-port Cat6A</t>
  </si>
  <si>
    <t xml:space="preserve">Shielded, rack mount</t>
  </si>
  <si>
    <t xml:space="preserve">IDF termination</t>
  </si>
  <si>
    <t xml:space="preserve">Fiber Panels</t>
  </si>
  <si>
    <t xml:space="preserve">24-port LC/SC</t>
  </si>
  <si>
    <t xml:space="preserve">Rack mount with cassettes</t>
  </si>
  <si>
    <t xml:space="preserve">MDF termination</t>
  </si>
  <si>
    <t xml:space="preserve">Cable Trays</t>
  </si>
  <si>
    <t xml:space="preserve">Ladder tray system</t>
  </si>
  <si>
    <t xml:space="preserve">4" galvanized, per 10ft</t>
  </si>
  <si>
    <t xml:space="preserve">Cable management</t>
  </si>
  <si>
    <t xml:space="preserve">Wall Outlets</t>
  </si>
  <si>
    <t xml:space="preserve">Dual-port faceplate</t>
  </si>
  <si>
    <t xml:space="preserve">Cat6A keystones</t>
  </si>
  <si>
    <t xml:space="preserve">User outlets</t>
  </si>
  <si>
    <t xml:space="preserve">Accessories</t>
  </si>
  <si>
    <t xml:space="preserve">Labels, ties, testers</t>
  </si>
  <si>
    <t xml:space="preserve">Comprehensive kit</t>
  </si>
  <si>
    <t xml:space="preserve">Installation tools</t>
  </si>
  <si>
    <t xml:space="preserve">Cabling Subtotal</t>
  </si>
  <si>
    <t xml:space="preserve">END-USER DEVICES</t>
  </si>
  <si>
    <t xml:space="preserve">Desktop PCs</t>
  </si>
  <si>
    <t xml:space="preserve">Dell OptiPlex 7090</t>
  </si>
  <si>
    <t xml:space="preserve">i5-11500, 16GB, 512GB SSD</t>
  </si>
  <si>
    <t xml:space="preserve">All departments</t>
  </si>
  <si>
    <t xml:space="preserve">Laptops</t>
  </si>
  <si>
    <t xml:space="preserve">Dell Latitude 5520</t>
  </si>
  <si>
    <t xml:space="preserve">i7-1185G7, 16GB, 512GB</t>
  </si>
  <si>
    <t xml:space="preserve">Mobile workforce</t>
  </si>
  <si>
    <t xml:space="preserve">Tablets</t>
  </si>
  <si>
    <t xml:space="preserve">iPad 10.2" Wi-Fi</t>
  </si>
  <si>
    <t xml:space="preserve">64GB, for clinical use</t>
  </si>
  <si>
    <t xml:space="preserve">Bedside computing</t>
  </si>
  <si>
    <t xml:space="preserve">Smartphones</t>
  </si>
  <si>
    <t xml:space="preserve">iPhone SE</t>
  </si>
  <si>
    <t xml:space="preserve">64GB, iOS 15</t>
  </si>
  <si>
    <t xml:space="preserve">Staff communication</t>
  </si>
  <si>
    <t xml:space="preserve">Network Printers</t>
  </si>
  <si>
    <t xml:space="preserve">HP LaserJet Enterprise</t>
  </si>
  <si>
    <t xml:space="preserve">M507dn, duplex, network</t>
  </si>
  <si>
    <t xml:space="preserve">Departmental printing</t>
  </si>
  <si>
    <t xml:space="preserve">Monitors</t>
  </si>
  <si>
    <t xml:space="preserve">Dell 24" P2422H</t>
  </si>
  <si>
    <t xml:space="preserve">1920x1080, IPS</t>
  </si>
  <si>
    <t xml:space="preserve">Desktop displays</t>
  </si>
  <si>
    <t xml:space="preserve">Keyboards &amp; Mice</t>
  </si>
  <si>
    <t xml:space="preserve">Logitech MK270</t>
  </si>
  <si>
    <t xml:space="preserve">Wireless combo</t>
  </si>
  <si>
    <t xml:space="preserve">Peripherals</t>
  </si>
  <si>
    <t xml:space="preserve">Webcams</t>
  </si>
  <si>
    <t xml:space="preserve">Logitech C920</t>
  </si>
  <si>
    <t xml:space="preserve">1080p, for telehealth</t>
  </si>
  <si>
    <t xml:space="preserve">Video consultations</t>
  </si>
  <si>
    <t xml:space="preserve">Headsets</t>
  </si>
  <si>
    <t xml:space="preserve">Jabra Evolve 40</t>
  </si>
  <si>
    <t xml:space="preserve">USB, noise cancelling</t>
  </si>
  <si>
    <t xml:space="preserve">VoIP communications</t>
  </si>
  <si>
    <t xml:space="preserve">End-User Devices Subtotal</t>
  </si>
  <si>
    <t xml:space="preserve">INSTALLATION &amp; LABOR</t>
  </si>
  <si>
    <t xml:space="preserve">Network Design</t>
  </si>
  <si>
    <t xml:space="preserve">Senior engineer</t>
  </si>
  <si>
    <t xml:space="preserve">4 weeks @ EGP 7,500/hr</t>
  </si>
  <si>
    <t xml:space="preserve">Architecture &amp; planning</t>
  </si>
  <si>
    <t xml:space="preserve">Equipment Install</t>
  </si>
  <si>
    <t xml:space="preserve">Certified technicians</t>
  </si>
  <si>
    <t xml:space="preserve">8 weeks, 4 techs</t>
  </si>
  <si>
    <t xml:space="preserve">Rack &amp; stack</t>
  </si>
  <si>
    <t xml:space="preserve">Cable Installation</t>
  </si>
  <si>
    <t xml:space="preserve">Structured cabling team</t>
  </si>
  <si>
    <t xml:space="preserve">280 drops + fiber</t>
  </si>
  <si>
    <t xml:space="preserve">Certified termination</t>
  </si>
  <si>
    <t xml:space="preserve">Configuration</t>
  </si>
  <si>
    <t xml:space="preserve">Network engineers</t>
  </si>
  <si>
    <t xml:space="preserve">VLAN, routing, security</t>
  </si>
  <si>
    <t xml:space="preserve">Protocol implementation</t>
  </si>
  <si>
    <t xml:space="preserve">Testing &amp; Cert</t>
  </si>
  <si>
    <t xml:space="preserve">Fluke DSX-8000 testing</t>
  </si>
  <si>
    <t xml:space="preserve">All cable drops</t>
  </si>
  <si>
    <t xml:space="preserve">Performance validation</t>
  </si>
  <si>
    <t xml:space="preserve">Project Management</t>
  </si>
  <si>
    <t xml:space="preserve">PM services</t>
  </si>
  <si>
    <t xml:space="preserve">12 weeks oversight</t>
  </si>
  <si>
    <t xml:space="preserve">Coordination</t>
  </si>
  <si>
    <t xml:space="preserve">Training</t>
  </si>
  <si>
    <t xml:space="preserve">Admin &amp; user training</t>
  </si>
  <si>
    <t xml:space="preserve">60 hours total</t>
  </si>
  <si>
    <t xml:space="preserve">Knowledge transfer</t>
  </si>
  <si>
    <t xml:space="preserve">Documentation</t>
  </si>
  <si>
    <t xml:space="preserve">As-built &amp; runbooks</t>
  </si>
  <si>
    <t xml:space="preserve">Complete documentation</t>
  </si>
  <si>
    <t xml:space="preserve">Network diagrams</t>
  </si>
  <si>
    <t xml:space="preserve">Contingency</t>
  </si>
  <si>
    <t xml:space="preserve">Unforeseen issues</t>
  </si>
  <si>
    <t xml:space="preserve">12% of labor</t>
  </si>
  <si>
    <t xml:space="preserve">Risk buffer</t>
  </si>
  <si>
    <t xml:space="preserve">Installation Subtotal</t>
  </si>
  <si>
    <t xml:space="preserve">SOFTWARE LICENSES (Annual)</t>
  </si>
  <si>
    <t xml:space="preserve">Cisco SmartNet</t>
  </si>
  <si>
    <t xml:space="preserve">24x7x4 support</t>
  </si>
  <si>
    <t xml:space="preserve">All Cisco equipment</t>
  </si>
  <si>
    <t xml:space="preserve">Hardware support</t>
  </si>
  <si>
    <t xml:space="preserve">Palo Alto Subscriptions</t>
  </si>
  <si>
    <t xml:space="preserve">Threat Prevention + URL</t>
  </si>
  <si>
    <t xml:space="preserve">Firewall security</t>
  </si>
  <si>
    <t xml:space="preserve">NGFW features</t>
  </si>
  <si>
    <t xml:space="preserve">Windows Server CALs</t>
  </si>
  <si>
    <t xml:space="preserve">Device CALs</t>
  </si>
  <si>
    <t xml:space="preserve">280 devices</t>
  </si>
  <si>
    <t xml:space="preserve">Server access</t>
  </si>
  <si>
    <t xml:space="preserve">Office 365 E3</t>
  </si>
  <si>
    <t xml:space="preserve">Per user license</t>
  </si>
  <si>
    <t xml:space="preserve">150 users</t>
  </si>
  <si>
    <t xml:space="preserve">Productivity suite</t>
  </si>
  <si>
    <t xml:space="preserve">Antivirus Enterprise</t>
  </si>
  <si>
    <t xml:space="preserve">Symantec Endpoint</t>
  </si>
  <si>
    <t xml:space="preserve">Per device</t>
  </si>
  <si>
    <t xml:space="preserve">Malware protection</t>
  </si>
  <si>
    <t xml:space="preserve">Backup Software</t>
  </si>
  <si>
    <t xml:space="preserve">Veeam Backup &amp; Replication</t>
  </si>
  <si>
    <t xml:space="preserve">Enterprise Plus</t>
  </si>
  <si>
    <t xml:space="preserve">Data protection</t>
  </si>
  <si>
    <t xml:space="preserve">Monitoring Tool</t>
  </si>
  <si>
    <t xml:space="preserve">SolarWinds NPM</t>
  </si>
  <si>
    <t xml:space="preserve">500 node license</t>
  </si>
  <si>
    <t xml:space="preserve">Network monitoring</t>
  </si>
  <si>
    <t xml:space="preserve">SIEM Solution</t>
  </si>
  <si>
    <t xml:space="preserve">Splunk Enterprise</t>
  </si>
  <si>
    <t xml:space="preserve">50GB/day</t>
  </si>
  <si>
    <t xml:space="preserve">Security analytics</t>
  </si>
  <si>
    <t xml:space="preserve">Software Licenses Subtotal</t>
  </si>
  <si>
    <t xml:space="preserve">TOTAL ANNUAL OPERATING COSTS</t>
  </si>
  <si>
    <t xml:space="preserve">Recurring yearly</t>
  </si>
  <si>
    <t xml:space="preserve">EQUIPMENT SELECTION JUSTIFICATION (Based on Project Requirements)</t>
  </si>
  <si>
    <t xml:space="preserve">Selected Solution</t>
  </si>
  <si>
    <t xml:space="preserve">Alternative Considered</t>
  </si>
  <si>
    <t xml:space="preserve">Justification &amp; Cost-Benefit</t>
  </si>
  <si>
    <t xml:space="preserve">Perimeter Security</t>
  </si>
  <si>
    <t xml:space="preserve">Cisco ASA 5505-X (891,000 EGP)</t>
  </si>
  <si>
    <t xml:space="preserve">pfSense (Free) + Hardware (99,000 EGP)</t>
  </si>
  <si>
    <t xml:space="preserve">ASA justified for healthcare: (1) Stateful packet inspection critical for PHI protection. (2) Multiple security zones (Inside/DMZ/Outside) as required by project. (3) Proven HIPAA compliance track record. (4) 24/7 TAC support reduces MTTR from days to hours. (5) Integration with Cisco infrastructure. Premium cost (792K difference) offset by preventing single breach (avg 20.2M EGP in healthcare per IBM study).</t>
  </si>
  <si>
    <t xml:space="preserve">Core Infrastructure</t>
  </si>
  <si>
    <t xml:space="preserve">Cisco Catalyst 3850 (1,435,500 EGP)</t>
  </si>
  <si>
    <t xml:space="preserve">HPE Aruba 6300 (1,089,000 EGP)</t>
  </si>
  <si>
    <t xml:space="preserve">Catalyst 3850 critical for: (1) HSRP redundancy ensures 99.99% uptime for patient systems. (2) StackPower for power redundancy. (3) Full LACP EtherChannel as specified in design. (4) Native integration with DNA for automation. (5) Healthcare-specific QoS for VoIP (VLAN 99). 346K premium pays off in 18 months through reduced downtime (EMR outage = 480K EGP/hour).</t>
  </si>
  <si>
    <t xml:space="preserve">Cisco 2504 WLC (420,750 EGP)</t>
  </si>
  <si>
    <t xml:space="preserve">UniFi Cloud Key (24,750 EGP)</t>
  </si>
  <si>
    <t xml:space="preserve">WLC essential for: (1) Centralized management of 10 LAPs as per topology. (2) VLAN 10 integration for management traffic. (3) Role-based access for clinical vs guest SSIDs. (4) Fast roaming for VoIP handoff. (5) RF optimization for medical device coexistence.</t>
  </si>
  <si>
    <t xml:space="preserve">Server Platform</t>
  </si>
  <si>
    <t xml:space="preserve">HP ProLiant DL380 Gen10 (841,500 EGP)</t>
  </si>
  <si>
    <t xml:space="preserve">Dell PowerEdge R640 (693,000 EGP)</t>
  </si>
  <si>
    <t xml:space="preserve">ProLiant chosen for: (1) iLO remote management for off-hours support. (2) Redundant power/cooling for 24/7 operations. (3) VMware ESXi certification (required by design). (4) 4-hour parts replacement for LDAP/DNS/DHCP servers. (5) Smart Array RAID protects patient data. 148K premium justified by preventing single data loss incident (avg 40.4M EGP).</t>
  </si>
  <si>
    <t xml:space="preserve">Storage Infrastructure</t>
  </si>
  <si>
    <t xml:space="preserve">NetApp FAS2750 (3,465,000 EGP)</t>
  </si>
  <si>
    <t xml:space="preserve">Synology RS4021xs+ (445,500 EGP)</t>
  </si>
  <si>
    <t xml:space="preserve">NetApp critical for healthcare: (1) Dual controller eliminates single point of failure. (2) SnapMirror replication for DR (primary + secondary as designed). (3) 99.999% uptime SLA for patient records. (4) WORM compliance for regulatory retention. (5) Sub-millisecond latency for EMR queries.</t>
  </si>
  <si>
    <t xml:space="preserve">VoIP Infrastructure</t>
  </si>
  <si>
    <t xml:space="preserve">Cisco CUCME (272,250 EGP)</t>
  </si>
  <si>
    <t xml:space="preserve">3CX Software PBX (49,500 EGP)</t>
  </si>
  <si>
    <t xml:space="preserve">CUCME justified by: (1) VLAN 99 integration as designed. (2) Directory numbers 3000-3020 management per spec. (3) Native integration with 2811 router. (4) Clinical-grade call quality. (5) Emergency services integration.</t>
  </si>
  <si>
    <t xml:space="preserve">Structured Cabling</t>
  </si>
  <si>
    <t xml:space="preserve">Cat6A (1,732,500 EGP)</t>
  </si>
  <si>
    <t xml:space="preserve">Cat6 (990,000 EGP)</t>
  </si>
  <si>
    <t xml:space="preserve">Cat6A ROI analysis: (1) 10Gbps to desktop for medical imaging (DICOM files). (2) Future-proof for 20 years vs 10 for Cat6. (3) Better alien crosstalk for 280-drop density. (4) Required for trunk links in hierarchical design.</t>
  </si>
  <si>
    <t xml:space="preserve">QUANTIFIED BENEFITS &amp; ROI ANALYSIS (5-Year Projection)</t>
  </si>
  <si>
    <t xml:space="preserve">Benefit Category</t>
  </si>
  <si>
    <t xml:space="preserve">Annual Value (EGP)</t>
  </si>
  <si>
    <t xml:space="preserve">5-Year Value (EGP)</t>
  </si>
  <si>
    <t xml:space="preserve">Calculation Methodology</t>
  </si>
  <si>
    <t xml:space="preserve">Reduced Downtime</t>
  </si>
  <si>
    <t xml:space="preserve">99.9% uptime vs 98% baseline = 17.5 hrs saved. Healthcare EMR downtime = 480,000 EGP/hr. Total: 17.5 x 480K = 4.2M EGP annually.</t>
  </si>
  <si>
    <t xml:space="preserve">Security Breach Prevention</t>
  </si>
  <si>
    <t xml:space="preserve">NGFW + segmentation reduces incidents by 3/year. Average healthcare breach = 2M EGP per incident. 3 x 2M = 5.94M EGP prevented annually.</t>
  </si>
  <si>
    <t xml:space="preserve">IT Operational Efficiency</t>
  </si>
  <si>
    <t xml:space="preserve">Network automation saves 20 hrs/week. Senior admin at 4,000 EGP/hr. Net after tool costs = 2.38M EGP.</t>
  </si>
  <si>
    <t xml:space="preserve">VoIP Cost Avoidance</t>
  </si>
  <si>
    <t xml:space="preserve">Replace analog system (1.44M/yr cost). VoIP cost = 252K/yr. Net savings = 1.19M EGP annually.</t>
  </si>
  <si>
    <t xml:space="preserve">Bandwidth Optimization</t>
  </si>
  <si>
    <t xml:space="preserve">Core switching + QoS reduces WAN by 35%. Deferred upgrade saves 79.2K/month x 12 = 950K EGP/year.</t>
  </si>
  <si>
    <t xml:space="preserve">Wireless Productivity</t>
  </si>
  <si>
    <t xml:space="preserve">WiFi 6 eliminates 5 min/staff/day waiting. 150 staff productivity gain = 1.73M EGP annually.</t>
  </si>
  <si>
    <t xml:space="preserve">Data Center Efficiency</t>
  </si>
  <si>
    <t xml:space="preserve">Virtualization reduces server count from 12 to 2 physical. Power and cooling savings = 832K EGP/year.</t>
  </si>
  <si>
    <t xml:space="preserve">Patient Satisfaction</t>
  </si>
  <si>
    <t xml:space="preserve">Network reliability improves patient scores by 8%. Revenue impact = 1.73M EGP.</t>
  </si>
  <si>
    <t xml:space="preserve">TOTAL QUANTIFIED BENEFITS</t>
  </si>
  <si>
    <t xml:space="preserve">Sum of all measurable benefits</t>
  </si>
  <si>
    <t xml:space="preserve">Capital Investment</t>
  </si>
  <si>
    <t xml:space="preserve">From Summary Sheet - Total CapEx</t>
  </si>
  <si>
    <t xml:space="preserve">5-Year Operating Costs</t>
  </si>
  <si>
    <t xml:space="preserve">Annual licenses &amp; support x 5 years</t>
  </si>
  <si>
    <t xml:space="preserve">5-Year Total Cost</t>
  </si>
  <si>
    <t xml:space="preserve">Complete investment over 5 years</t>
  </si>
  <si>
    <t xml:space="preserve">NET 5-YEAR BENEFIT</t>
  </si>
  <si>
    <t xml:space="preserve">Total Benefits minus Total Costs</t>
  </si>
  <si>
    <t xml:space="preserve">Return on Investment</t>
  </si>
  <si>
    <t xml:space="preserve">Net benefit as % of investment</t>
  </si>
  <si>
    <t xml:space="preserve">Payback Period (Years)</t>
  </si>
  <si>
    <t xml:space="preserve">Years to recover full investment</t>
  </si>
  <si>
    <t xml:space="preserve">Benefit-Cost Ratio</t>
  </si>
  <si>
    <t xml:space="preserve">Benefit per Egyptian Pound invested</t>
  </si>
  <si>
    <t xml:space="preserve">RISK MITIGATION VALUE</t>
  </si>
  <si>
    <t xml:space="preserve">Risk Factor</t>
  </si>
  <si>
    <t xml:space="preserve">Impact Without</t>
  </si>
  <si>
    <t xml:space="preserve">Mitigation Strategy</t>
  </si>
  <si>
    <t xml:space="preserve">Estimated Value</t>
  </si>
  <si>
    <t xml:space="preserve">HIPAA Violation</t>
  </si>
  <si>
    <t xml:space="preserve">7.4M - 74M EGP fine</t>
  </si>
  <si>
    <t xml:space="preserve">ASA firewall + VLAN segmentation</t>
  </si>
  <si>
    <t xml:space="preserve">Business continuity protection</t>
  </si>
  <si>
    <t xml:space="preserve">Ransomware Attack</t>
  </si>
  <si>
    <t xml:space="preserve">45.5M EGP average</t>
  </si>
  <si>
    <t xml:space="preserve">DMZ isolation + NGFW + backups</t>
  </si>
  <si>
    <t xml:space="preserve">75% attack surface reduction</t>
  </si>
  <si>
    <t xml:space="preserve">Network Outage</t>
  </si>
  <si>
    <t xml:space="preserve">480K EGP per hour</t>
  </si>
  <si>
    <t xml:space="preserve">HSRP + redundant power + dual storage</t>
  </si>
  <si>
    <t xml:space="preserve">Under 2 hrs downtime annually</t>
  </si>
  <si>
    <t xml:space="preserve">Data Loss</t>
  </si>
  <si>
    <t xml:space="preserve">40.4M EGP breach cost</t>
  </si>
  <si>
    <t xml:space="preserve">NetApp snapshots + replication</t>
  </si>
  <si>
    <t xml:space="preserve">RPO under 15 min</t>
  </si>
  <si>
    <t xml:space="preserve">Medical Device Hack</t>
  </si>
  <si>
    <t xml:space="preserve">Patient safety risk</t>
  </si>
  <si>
    <t xml:space="preserve">IoT VLAN isolation + IPS</t>
  </si>
  <si>
    <t xml:space="preserve">Prevents lateral movement</t>
  </si>
  <si>
    <t xml:space="preserve">Regulatory Issues</t>
  </si>
  <si>
    <t xml:space="preserve">Accreditation loss</t>
  </si>
  <si>
    <t xml:space="preserve">Audit logging + encryption</t>
  </si>
  <si>
    <t xml:space="preserve">JCI/HIPAA compliance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</si>
</sst>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EGP&quot;"/>
    <numFmt numFmtId="166" formatCode="0.0%"/>
    <numFmt numFmtId="167" formatCode="\$#,##0"/>
    <numFmt numFmtId="168" formatCode="#,##0"/>
    <numFmt numFmtId="169" formatCode="0.0\%"/>
    <numFmt numFmtId="170" formatCode="0.0&quot; years&quot;"/>
    <numFmt numFmtId="171" formatCode="0.00&quot;:1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name val="Cambria"/>
      <family val="0"/>
      <charset val="1"/>
    </font>
    <font>
      <i val="true"/>
      <sz val="10"/>
      <color rgb="FF0000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D9E1F2"/>
        <bgColor rgb="FFCCFFFF"/>
      </patternFill>
    </fill>
    <fill>
      <patternFill patternType="solid">
        <fgColor rgb="FFB4C7E7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36609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1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1" t="s">
        <v>8</v>
      </c>
      <c r="B5" s="1" t="s">
        <v>9</v>
      </c>
      <c r="E5" s="5" t="n">
        <f aca="false">Details!G7</f>
        <v>1237500</v>
      </c>
      <c r="F5" s="6" t="n">
        <f aca="false">IF($E$18&gt;0,E5/$E$18,0)</f>
        <v>0.031529915583906</v>
      </c>
    </row>
    <row r="6" customFormat="false" ht="15" hidden="false" customHeight="true" outlineLevel="0" collapsed="false">
      <c r="A6" s="1" t="s">
        <v>10</v>
      </c>
      <c r="B6" s="1" t="s">
        <v>11</v>
      </c>
      <c r="E6" s="5" t="n">
        <f aca="false">Details!G10</f>
        <v>1435500</v>
      </c>
      <c r="F6" s="6" t="n">
        <f aca="false">IF($E$18&gt;0,E6/$E$18,0)</f>
        <v>0.036574702077331</v>
      </c>
    </row>
    <row r="7" customFormat="false" ht="15" hidden="false" customHeight="true" outlineLevel="0" collapsed="false">
      <c r="A7" s="1" t="s">
        <v>12</v>
      </c>
      <c r="B7" s="1" t="s">
        <v>13</v>
      </c>
      <c r="E7" s="5" t="n">
        <f aca="false">Details!G14</f>
        <v>3910500</v>
      </c>
      <c r="F7" s="6" t="n">
        <f aca="false">IF($E$18&gt;0,E7/$E$18,0)</f>
        <v>0.099634533245143</v>
      </c>
    </row>
    <row r="8" customFormat="false" ht="15" hidden="false" customHeight="true" outlineLevel="0" collapsed="false">
      <c r="A8" s="1" t="s">
        <v>14</v>
      </c>
      <c r="B8" s="1" t="s">
        <v>15</v>
      </c>
      <c r="E8" s="5" t="n">
        <f aca="false">Details!G25</f>
        <v>7761600</v>
      </c>
      <c r="F8" s="6" t="n">
        <f aca="false">IF($E$18&gt;0,E8/$E$18,0)</f>
        <v>0.197755630542259</v>
      </c>
    </row>
    <row r="9" customFormat="false" ht="15" hidden="false" customHeight="true" outlineLevel="0" collapsed="false">
      <c r="A9" s="1" t="s">
        <v>16</v>
      </c>
      <c r="B9" s="1" t="s">
        <v>17</v>
      </c>
      <c r="E9" s="5" t="n">
        <f aca="false">Details!G29</f>
        <v>965250</v>
      </c>
      <c r="F9" s="6" t="n">
        <f aca="false">IF($E$18&gt;0,E9/$E$18,0)</f>
        <v>0.0245933341554467</v>
      </c>
    </row>
    <row r="10" customFormat="false" ht="15" hidden="false" customHeight="true" outlineLevel="0" collapsed="false">
      <c r="A10" s="1" t="s">
        <v>18</v>
      </c>
      <c r="B10" s="1" t="s">
        <v>19</v>
      </c>
      <c r="E10" s="5" t="n">
        <f aca="false">Details!G33</f>
        <v>841500</v>
      </c>
      <c r="F10" s="6" t="n">
        <f aca="false">IF($E$18&gt;0,E10/$E$18,0)</f>
        <v>0.0214403425970561</v>
      </c>
    </row>
    <row r="11" customFormat="false" ht="15" hidden="false" customHeight="true" outlineLevel="0" collapsed="false">
      <c r="A11" s="1" t="s">
        <v>20</v>
      </c>
      <c r="B11" s="1" t="s">
        <v>21</v>
      </c>
      <c r="E11" s="5" t="n">
        <f aca="false">Details!G39</f>
        <v>617760</v>
      </c>
      <c r="F11" s="6" t="n">
        <f aca="false">IF($E$18&gt;0,E11/$E$18,0)</f>
        <v>0.0157397338594859</v>
      </c>
    </row>
    <row r="12" customFormat="false" ht="15" hidden="false" customHeight="true" outlineLevel="0" collapsed="false">
      <c r="A12" s="1" t="s">
        <v>22</v>
      </c>
      <c r="B12" s="1" t="s">
        <v>23</v>
      </c>
      <c r="E12" s="5" t="n">
        <f aca="false">Details!G49</f>
        <v>3571672.5</v>
      </c>
      <c r="F12" s="6" t="n">
        <f aca="false">IF($E$18&gt;0,E12/$E$18,0)</f>
        <v>0.0910016423582695</v>
      </c>
    </row>
    <row r="13" customFormat="false" ht="15" hidden="false" customHeight="true" outlineLevel="0" collapsed="false">
      <c r="A13" s="1" t="s">
        <v>24</v>
      </c>
      <c r="B13" s="1" t="s">
        <v>25</v>
      </c>
      <c r="E13" s="5" t="n">
        <f aca="false">Details!G60</f>
        <v>10470487.5</v>
      </c>
      <c r="F13" s="6" t="n">
        <f aca="false">IF($E$18&gt;0,E13/$E$18,0)</f>
        <v>0.266774615755429</v>
      </c>
    </row>
    <row r="14" customFormat="false" ht="15" hidden="false" customHeight="true" outlineLevel="0" collapsed="false">
      <c r="A14" s="1" t="s">
        <v>26</v>
      </c>
      <c r="B14" s="1" t="s">
        <v>27</v>
      </c>
      <c r="E14" s="5" t="n">
        <f aca="false">Details!G71</f>
        <v>2572900</v>
      </c>
      <c r="F14" s="6" t="n">
        <f aca="false">IF($E$18&gt;0,E14/$E$18,0)</f>
        <v>0.0655541978228944</v>
      </c>
    </row>
    <row r="15" customFormat="false" ht="15" hidden="false" customHeight="true" outlineLevel="0" collapsed="false">
      <c r="A15" s="1" t="s">
        <v>28</v>
      </c>
      <c r="B15" s="1" t="s">
        <v>29</v>
      </c>
      <c r="E15" s="5" t="n">
        <f aca="false">Details!G81</f>
        <v>5863770</v>
      </c>
      <c r="F15" s="6" t="n">
        <f aca="false">IF($E$18&gt;0,E15/$E$18,0)</f>
        <v>0.14940135200278</v>
      </c>
    </row>
    <row r="16" customFormat="false" ht="15" hidden="false" customHeight="true" outlineLevel="0" collapsed="false">
      <c r="A16" s="7" t="s">
        <v>30</v>
      </c>
      <c r="E16" s="8" t="n">
        <f aca="false">SUM(E5:E11)</f>
        <v>16769610</v>
      </c>
      <c r="F16" s="6" t="s">
        <v>31</v>
      </c>
    </row>
    <row r="17" customFormat="false" ht="15" hidden="false" customHeight="true" outlineLevel="0" collapsed="false">
      <c r="A17" s="7" t="s">
        <v>32</v>
      </c>
      <c r="E17" s="8" t="n">
        <f aca="false">SUM(E12:E15)</f>
        <v>22478830</v>
      </c>
    </row>
    <row r="18" customFormat="false" ht="15" hidden="false" customHeight="true" outlineLevel="0" collapsed="false">
      <c r="A18" s="9" t="s">
        <v>33</v>
      </c>
      <c r="E18" s="10" t="n">
        <f aca="false">E16+E17</f>
        <v>39248440</v>
      </c>
    </row>
    <row r="20" customFormat="false" ht="15" hidden="false" customHeight="true" outlineLevel="0" collapsed="false">
      <c r="A20" s="7" t="s">
        <v>34</v>
      </c>
      <c r="E20" s="11" t="n">
        <f aca="false">Details!G83</f>
        <v>5863770</v>
      </c>
    </row>
    <row r="22" customFormat="false" ht="15" hidden="false" customHeight="true" outlineLevel="0" collapsed="false">
      <c r="A22" s="12" t="s">
        <v>35</v>
      </c>
      <c r="E22" s="13" t="n">
        <f aca="false">E18+(E20*5)</f>
        <v>68567290</v>
      </c>
    </row>
    <row r="24" customFormat="false" ht="15" hidden="false" customHeight="true" outlineLevel="0" collapsed="false">
      <c r="A24" s="14" t="s">
        <v>36</v>
      </c>
      <c r="B24" s="15" t="s">
        <v>37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8"/>
    <col collapsed="false" customWidth="true" hidden="false" outlineLevel="0" max="7" min="7" style="1" width="20"/>
    <col collapsed="false" customWidth="true" hidden="false" outlineLevel="0" max="8" min="8" style="1" width="25"/>
  </cols>
  <sheetData>
    <row r="1" customFormat="false" ht="24.75" hidden="false" customHeight="true" outlineLevel="0" collapsed="false">
      <c r="A1" s="16" t="s">
        <v>38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17" t="s">
        <v>2</v>
      </c>
      <c r="B2" s="17" t="s">
        <v>39</v>
      </c>
      <c r="C2" s="17" t="s">
        <v>40</v>
      </c>
      <c r="D2" s="17" t="s">
        <v>41</v>
      </c>
      <c r="E2" s="17" t="s">
        <v>42</v>
      </c>
      <c r="F2" s="17" t="s">
        <v>43</v>
      </c>
      <c r="G2" s="17" t="s">
        <v>6</v>
      </c>
      <c r="H2" s="17" t="s">
        <v>44</v>
      </c>
    </row>
    <row r="3" customFormat="false" ht="27.75" hidden="false" customHeight="true" outlineLevel="0" collapsed="false">
      <c r="A3" s="18" t="s">
        <v>45</v>
      </c>
      <c r="B3" s="18"/>
      <c r="C3" s="18"/>
      <c r="D3" s="18"/>
      <c r="E3" s="18"/>
      <c r="F3" s="18"/>
      <c r="G3" s="18"/>
      <c r="H3" s="18"/>
    </row>
    <row r="4" customFormat="false" ht="15" hidden="false" customHeight="true" outlineLevel="0" collapsed="false">
      <c r="A4" s="19" t="s">
        <v>46</v>
      </c>
      <c r="B4" s="19" t="s">
        <v>47</v>
      </c>
      <c r="C4" s="19" t="s">
        <v>48</v>
      </c>
      <c r="D4" s="20" t="n">
        <v>2500</v>
      </c>
      <c r="E4" s="21" t="n">
        <f aca="false">D4*49.5</f>
        <v>123750</v>
      </c>
      <c r="F4" s="22" t="n">
        <v>1</v>
      </c>
      <c r="G4" s="21" t="n">
        <f aca="false">E4*F4</f>
        <v>123750</v>
      </c>
      <c r="H4" s="19" t="s">
        <v>49</v>
      </c>
    </row>
    <row r="5" customFormat="false" ht="27.75" hidden="false" customHeight="true" outlineLevel="0" collapsed="false">
      <c r="A5" s="19" t="s">
        <v>50</v>
      </c>
      <c r="B5" s="19" t="s">
        <v>51</v>
      </c>
      <c r="C5" s="19" t="s">
        <v>52</v>
      </c>
      <c r="D5" s="20" t="n">
        <v>18000</v>
      </c>
      <c r="E5" s="21" t="n">
        <f aca="false">D5*49.5</f>
        <v>891000</v>
      </c>
      <c r="F5" s="22" t="n">
        <v>1</v>
      </c>
      <c r="G5" s="21" t="n">
        <f aca="false">E5*F5</f>
        <v>891000</v>
      </c>
      <c r="H5" s="19" t="s">
        <v>53</v>
      </c>
    </row>
    <row r="6" customFormat="false" ht="15" hidden="false" customHeight="true" outlineLevel="0" collapsed="false">
      <c r="A6" s="19" t="s">
        <v>54</v>
      </c>
      <c r="B6" s="19" t="s">
        <v>55</v>
      </c>
      <c r="C6" s="19" t="s">
        <v>56</v>
      </c>
      <c r="D6" s="20" t="n">
        <v>4500</v>
      </c>
      <c r="E6" s="21" t="n">
        <f aca="false">D6*49.5</f>
        <v>222750</v>
      </c>
      <c r="F6" s="22" t="n">
        <v>1</v>
      </c>
      <c r="G6" s="21" t="n">
        <f aca="false">E6*F6</f>
        <v>222750</v>
      </c>
      <c r="H6" s="19" t="s">
        <v>57</v>
      </c>
    </row>
    <row r="7" customFormat="false" ht="15" hidden="false" customHeight="true" outlineLevel="0" collapsed="false">
      <c r="A7" s="19"/>
      <c r="B7" s="23" t="s">
        <v>58</v>
      </c>
      <c r="C7" s="19"/>
      <c r="D7" s="19"/>
      <c r="E7" s="19"/>
      <c r="F7" s="19"/>
      <c r="G7" s="21" t="n">
        <f aca="false">SUM(G4:G6)</f>
        <v>1237500</v>
      </c>
      <c r="H7" s="19"/>
    </row>
    <row r="8" customFormat="false" ht="15" hidden="false" customHeight="true" outlineLevel="0" collapsed="false">
      <c r="A8" s="18" t="s">
        <v>59</v>
      </c>
      <c r="B8" s="18"/>
      <c r="C8" s="18"/>
      <c r="D8" s="18"/>
      <c r="E8" s="18"/>
      <c r="F8" s="18"/>
      <c r="G8" s="18"/>
      <c r="H8" s="18"/>
    </row>
    <row r="9" customFormat="false" ht="15" hidden="false" customHeight="true" outlineLevel="0" collapsed="false">
      <c r="A9" s="19" t="s">
        <v>60</v>
      </c>
      <c r="B9" s="19" t="s">
        <v>61</v>
      </c>
      <c r="C9" s="19" t="s">
        <v>62</v>
      </c>
      <c r="D9" s="20" t="n">
        <v>14500</v>
      </c>
      <c r="E9" s="21" t="n">
        <f aca="false">D9*49.5</f>
        <v>717750</v>
      </c>
      <c r="F9" s="22" t="n">
        <v>2</v>
      </c>
      <c r="G9" s="21" t="n">
        <f aca="false">E9*F9</f>
        <v>1435500</v>
      </c>
      <c r="H9" s="19" t="s">
        <v>63</v>
      </c>
    </row>
    <row r="10" customFormat="false" ht="15" hidden="false" customHeight="true" outlineLevel="0" collapsed="false">
      <c r="A10" s="19"/>
      <c r="B10" s="23" t="s">
        <v>64</v>
      </c>
      <c r="C10" s="19"/>
      <c r="D10" s="19"/>
      <c r="E10" s="19"/>
      <c r="F10" s="19"/>
      <c r="G10" s="21" t="n">
        <f aca="false">SUM(G9:G9)</f>
        <v>1435500</v>
      </c>
      <c r="H10" s="19"/>
    </row>
    <row r="11" customFormat="false" ht="15" hidden="false" customHeight="true" outlineLevel="0" collapsed="false">
      <c r="A11" s="18" t="s">
        <v>65</v>
      </c>
      <c r="B11" s="18"/>
      <c r="C11" s="18"/>
      <c r="D11" s="18"/>
      <c r="E11" s="18"/>
      <c r="F11" s="18"/>
      <c r="G11" s="18"/>
      <c r="H11" s="18"/>
    </row>
    <row r="12" customFormat="false" ht="15" hidden="false" customHeight="true" outlineLevel="0" collapsed="false">
      <c r="A12" s="19" t="s">
        <v>66</v>
      </c>
      <c r="B12" s="19" t="s">
        <v>67</v>
      </c>
      <c r="C12" s="19" t="s">
        <v>68</v>
      </c>
      <c r="D12" s="20" t="n">
        <v>8500</v>
      </c>
      <c r="E12" s="21" t="n">
        <f aca="false">D12*49.5</f>
        <v>420750</v>
      </c>
      <c r="F12" s="22" t="n">
        <v>8</v>
      </c>
      <c r="G12" s="21" t="n">
        <f aca="false">E12*F12</f>
        <v>3366000</v>
      </c>
      <c r="H12" s="19" t="s">
        <v>69</v>
      </c>
    </row>
    <row r="13" customFormat="false" ht="15" hidden="false" customHeight="true" outlineLevel="0" collapsed="false">
      <c r="A13" s="19" t="s">
        <v>70</v>
      </c>
      <c r="B13" s="19" t="s">
        <v>71</v>
      </c>
      <c r="C13" s="19" t="s">
        <v>72</v>
      </c>
      <c r="D13" s="20" t="n">
        <v>5500</v>
      </c>
      <c r="E13" s="21" t="n">
        <f aca="false">D13*49.5</f>
        <v>272250</v>
      </c>
      <c r="F13" s="22" t="n">
        <v>2</v>
      </c>
      <c r="G13" s="21" t="n">
        <f aca="false">E13*F13</f>
        <v>544500</v>
      </c>
      <c r="H13" s="19" t="s">
        <v>73</v>
      </c>
    </row>
    <row r="14" customFormat="false" ht="15" hidden="false" customHeight="true" outlineLevel="0" collapsed="false">
      <c r="A14" s="19"/>
      <c r="B14" s="23" t="s">
        <v>74</v>
      </c>
      <c r="C14" s="19"/>
      <c r="D14" s="19"/>
      <c r="E14" s="19"/>
      <c r="F14" s="19"/>
      <c r="G14" s="21" t="n">
        <f aca="false">SUM(G12:G13)</f>
        <v>3910500</v>
      </c>
      <c r="H14" s="19"/>
    </row>
    <row r="15" customFormat="false" ht="27.75" hidden="false" customHeight="true" outlineLevel="0" collapsed="false">
      <c r="A15" s="18" t="s">
        <v>75</v>
      </c>
      <c r="B15" s="18"/>
      <c r="C15" s="18"/>
      <c r="D15" s="18"/>
      <c r="E15" s="18"/>
      <c r="F15" s="18"/>
      <c r="G15" s="18"/>
      <c r="H15" s="18"/>
    </row>
    <row r="16" customFormat="false" ht="15" hidden="false" customHeight="true" outlineLevel="0" collapsed="false">
      <c r="A16" s="19" t="s">
        <v>76</v>
      </c>
      <c r="B16" s="19" t="s">
        <v>77</v>
      </c>
      <c r="C16" s="19" t="s">
        <v>78</v>
      </c>
      <c r="D16" s="20" t="n">
        <v>8500</v>
      </c>
      <c r="E16" s="21" t="n">
        <f aca="false">D16*49.5</f>
        <v>420750</v>
      </c>
      <c r="F16" s="22" t="n">
        <v>2</v>
      </c>
      <c r="G16" s="21" t="n">
        <f aca="false">E16*F16</f>
        <v>841500</v>
      </c>
      <c r="H16" s="19" t="s">
        <v>79</v>
      </c>
    </row>
    <row r="17" customFormat="false" ht="15" hidden="false" customHeight="true" outlineLevel="0" collapsed="false">
      <c r="A17" s="19" t="s">
        <v>80</v>
      </c>
      <c r="B17" s="19" t="s">
        <v>81</v>
      </c>
      <c r="C17" s="19" t="s">
        <v>82</v>
      </c>
      <c r="D17" s="20" t="n">
        <v>4500</v>
      </c>
      <c r="E17" s="21" t="n">
        <f aca="false">D17*49.5</f>
        <v>222750</v>
      </c>
      <c r="F17" s="22" t="n">
        <v>4</v>
      </c>
      <c r="G17" s="21" t="n">
        <f aca="false">E17*F17</f>
        <v>891000</v>
      </c>
      <c r="H17" s="19" t="s">
        <v>83</v>
      </c>
    </row>
    <row r="18" customFormat="false" ht="15" hidden="false" customHeight="true" outlineLevel="0" collapsed="false">
      <c r="A18" s="19" t="s">
        <v>84</v>
      </c>
      <c r="B18" s="19" t="s">
        <v>85</v>
      </c>
      <c r="C18" s="19" t="s">
        <v>86</v>
      </c>
      <c r="D18" s="20" t="n">
        <v>3500</v>
      </c>
      <c r="E18" s="21" t="n">
        <f aca="false">D18*49.5</f>
        <v>173250</v>
      </c>
      <c r="F18" s="22" t="n">
        <v>2</v>
      </c>
      <c r="G18" s="21" t="n">
        <f aca="false">E18*F18</f>
        <v>346500</v>
      </c>
      <c r="H18" s="19" t="s">
        <v>87</v>
      </c>
    </row>
    <row r="19" customFormat="false" ht="15" hidden="false" customHeight="true" outlineLevel="0" collapsed="false">
      <c r="A19" s="19" t="s">
        <v>88</v>
      </c>
      <c r="B19" s="19" t="s">
        <v>89</v>
      </c>
      <c r="C19" s="19" t="s">
        <v>90</v>
      </c>
      <c r="D19" s="20" t="n">
        <v>12000</v>
      </c>
      <c r="E19" s="21" t="n">
        <f aca="false">D19*49.5</f>
        <v>594000</v>
      </c>
      <c r="F19" s="22" t="n">
        <v>1</v>
      </c>
      <c r="G19" s="21" t="n">
        <f aca="false">E19*F19</f>
        <v>594000</v>
      </c>
      <c r="H19" s="19" t="s">
        <v>91</v>
      </c>
    </row>
    <row r="20" customFormat="false" ht="15" hidden="false" customHeight="true" outlineLevel="0" collapsed="false">
      <c r="A20" s="19" t="s">
        <v>92</v>
      </c>
      <c r="B20" s="19" t="s">
        <v>93</v>
      </c>
      <c r="C20" s="19" t="s">
        <v>94</v>
      </c>
      <c r="D20" s="20" t="n">
        <v>4200</v>
      </c>
      <c r="E20" s="21" t="n">
        <f aca="false">D20*49.5</f>
        <v>207900</v>
      </c>
      <c r="F20" s="22" t="n">
        <v>1</v>
      </c>
      <c r="G20" s="21" t="n">
        <f aca="false">E20*F20</f>
        <v>207900</v>
      </c>
      <c r="H20" s="19" t="s">
        <v>95</v>
      </c>
    </row>
    <row r="21" customFormat="false" ht="15" hidden="false" customHeight="true" outlineLevel="0" collapsed="false">
      <c r="A21" s="19" t="s">
        <v>96</v>
      </c>
      <c r="B21" s="19" t="s">
        <v>97</v>
      </c>
      <c r="C21" s="19" t="s">
        <v>98</v>
      </c>
      <c r="D21" s="20" t="n">
        <v>2800</v>
      </c>
      <c r="E21" s="21" t="n">
        <f aca="false">D21*49.5</f>
        <v>138600</v>
      </c>
      <c r="F21" s="22" t="n">
        <v>1</v>
      </c>
      <c r="G21" s="21" t="n">
        <f aca="false">E21*F21</f>
        <v>138600</v>
      </c>
      <c r="H21" s="19" t="s">
        <v>99</v>
      </c>
    </row>
    <row r="22" customFormat="false" ht="15" hidden="false" customHeight="true" outlineLevel="0" collapsed="false">
      <c r="A22" s="19" t="s">
        <v>100</v>
      </c>
      <c r="B22" s="19" t="s">
        <v>101</v>
      </c>
      <c r="C22" s="19" t="s">
        <v>102</v>
      </c>
      <c r="D22" s="20" t="n">
        <v>35000</v>
      </c>
      <c r="E22" s="21" t="n">
        <f aca="false">D22*49.5</f>
        <v>1732500</v>
      </c>
      <c r="F22" s="22" t="n">
        <v>2</v>
      </c>
      <c r="G22" s="21" t="n">
        <f aca="false">E22*F22</f>
        <v>3465000</v>
      </c>
      <c r="H22" s="19" t="s">
        <v>103</v>
      </c>
    </row>
    <row r="23" customFormat="false" ht="15" hidden="false" customHeight="true" outlineLevel="0" collapsed="false">
      <c r="A23" s="19" t="s">
        <v>104</v>
      </c>
      <c r="B23" s="19" t="s">
        <v>105</v>
      </c>
      <c r="C23" s="19" t="s">
        <v>106</v>
      </c>
      <c r="D23" s="20" t="n">
        <v>2200</v>
      </c>
      <c r="E23" s="21" t="n">
        <f aca="false">D23*49.5</f>
        <v>108900</v>
      </c>
      <c r="F23" s="22" t="n">
        <v>4</v>
      </c>
      <c r="G23" s="21" t="n">
        <f aca="false">E23*F23</f>
        <v>435600</v>
      </c>
      <c r="H23" s="19" t="s">
        <v>107</v>
      </c>
    </row>
    <row r="24" customFormat="false" ht="15" hidden="false" customHeight="true" outlineLevel="0" collapsed="false">
      <c r="A24" s="19" t="s">
        <v>108</v>
      </c>
      <c r="B24" s="19" t="s">
        <v>109</v>
      </c>
      <c r="C24" s="19" t="s">
        <v>110</v>
      </c>
      <c r="D24" s="20" t="n">
        <v>8500</v>
      </c>
      <c r="E24" s="21" t="n">
        <f aca="false">D24*49.5</f>
        <v>420750</v>
      </c>
      <c r="F24" s="22" t="n">
        <v>2</v>
      </c>
      <c r="G24" s="21" t="n">
        <f aca="false">E24*F24</f>
        <v>841500</v>
      </c>
      <c r="H24" s="19" t="s">
        <v>111</v>
      </c>
    </row>
    <row r="25" customFormat="false" ht="15" hidden="false" customHeight="true" outlineLevel="0" collapsed="false">
      <c r="A25" s="19"/>
      <c r="B25" s="23" t="s">
        <v>112</v>
      </c>
      <c r="C25" s="19"/>
      <c r="D25" s="19"/>
      <c r="E25" s="19"/>
      <c r="F25" s="19"/>
      <c r="G25" s="21" t="n">
        <f aca="false">SUM(G16:G24)</f>
        <v>7761600</v>
      </c>
      <c r="H25" s="19"/>
    </row>
    <row r="26" customFormat="false" ht="15" hidden="false" customHeight="true" outlineLevel="0" collapsed="false">
      <c r="A26" s="18" t="s">
        <v>113</v>
      </c>
      <c r="B26" s="18"/>
      <c r="C26" s="18"/>
      <c r="D26" s="18"/>
      <c r="E26" s="18"/>
      <c r="F26" s="18"/>
      <c r="G26" s="18"/>
      <c r="H26" s="18"/>
    </row>
    <row r="27" customFormat="false" ht="15" hidden="false" customHeight="true" outlineLevel="0" collapsed="false">
      <c r="A27" s="19" t="s">
        <v>114</v>
      </c>
      <c r="B27" s="19" t="s">
        <v>115</v>
      </c>
      <c r="C27" s="19" t="s">
        <v>116</v>
      </c>
      <c r="D27" s="20" t="n">
        <v>5500</v>
      </c>
      <c r="E27" s="21" t="n">
        <f aca="false">D27*49.5</f>
        <v>272250</v>
      </c>
      <c r="F27" s="22" t="n">
        <v>1</v>
      </c>
      <c r="G27" s="21" t="n">
        <f aca="false">E27*F27</f>
        <v>272250</v>
      </c>
      <c r="H27" s="19" t="s">
        <v>117</v>
      </c>
    </row>
    <row r="28" customFormat="false" ht="15" hidden="false" customHeight="true" outlineLevel="0" collapsed="false">
      <c r="A28" s="19" t="s">
        <v>118</v>
      </c>
      <c r="B28" s="19" t="s">
        <v>119</v>
      </c>
      <c r="C28" s="19" t="s">
        <v>120</v>
      </c>
      <c r="D28" s="20" t="n">
        <v>280</v>
      </c>
      <c r="E28" s="21" t="n">
        <f aca="false">D28*49.5</f>
        <v>13860</v>
      </c>
      <c r="F28" s="22" t="n">
        <v>50</v>
      </c>
      <c r="G28" s="21" t="n">
        <f aca="false">E28*F28</f>
        <v>693000</v>
      </c>
      <c r="H28" s="19" t="s">
        <v>121</v>
      </c>
    </row>
    <row r="29" customFormat="false" ht="15" hidden="false" customHeight="true" outlineLevel="0" collapsed="false">
      <c r="A29" s="19"/>
      <c r="B29" s="23" t="s">
        <v>122</v>
      </c>
      <c r="C29" s="19"/>
      <c r="D29" s="19"/>
      <c r="E29" s="19"/>
      <c r="F29" s="19"/>
      <c r="G29" s="21" t="n">
        <f aca="false">SUM(G27:G28)</f>
        <v>965250</v>
      </c>
      <c r="H29" s="19"/>
    </row>
    <row r="30" customFormat="false" ht="27.75" hidden="false" customHeight="true" outlineLevel="0" collapsed="false">
      <c r="A30" s="18" t="s">
        <v>123</v>
      </c>
      <c r="B30" s="18"/>
      <c r="C30" s="18"/>
      <c r="D30" s="18"/>
      <c r="E30" s="18"/>
      <c r="F30" s="18"/>
      <c r="G30" s="18"/>
      <c r="H30" s="18"/>
    </row>
    <row r="31" customFormat="false" ht="15" hidden="false" customHeight="true" outlineLevel="0" collapsed="false">
      <c r="A31" s="19" t="s">
        <v>124</v>
      </c>
      <c r="B31" s="19" t="s">
        <v>125</v>
      </c>
      <c r="C31" s="19" t="s">
        <v>126</v>
      </c>
      <c r="D31" s="20" t="n">
        <v>8500</v>
      </c>
      <c r="E31" s="21" t="n">
        <f aca="false">D31*49.5</f>
        <v>420750</v>
      </c>
      <c r="F31" s="22" t="n">
        <v>1</v>
      </c>
      <c r="G31" s="21" t="n">
        <f aca="false">E31*F31</f>
        <v>420750</v>
      </c>
      <c r="H31" s="19" t="s">
        <v>127</v>
      </c>
    </row>
    <row r="32" customFormat="false" ht="15" hidden="false" customHeight="true" outlineLevel="0" collapsed="false">
      <c r="A32" s="19" t="s">
        <v>128</v>
      </c>
      <c r="B32" s="19" t="s">
        <v>129</v>
      </c>
      <c r="C32" s="19" t="s">
        <v>130</v>
      </c>
      <c r="D32" s="20" t="n">
        <v>850</v>
      </c>
      <c r="E32" s="21" t="n">
        <f aca="false">D32*49.5</f>
        <v>42075</v>
      </c>
      <c r="F32" s="22" t="n">
        <v>10</v>
      </c>
      <c r="G32" s="21" t="n">
        <f aca="false">E32*F32</f>
        <v>420750</v>
      </c>
      <c r="H32" s="19" t="s">
        <v>131</v>
      </c>
    </row>
    <row r="33" customFormat="false" ht="27.75" hidden="false" customHeight="true" outlineLevel="0" collapsed="false">
      <c r="A33" s="19"/>
      <c r="B33" s="23" t="s">
        <v>132</v>
      </c>
      <c r="C33" s="19"/>
      <c r="D33" s="19"/>
      <c r="E33" s="19"/>
      <c r="F33" s="19"/>
      <c r="G33" s="21" t="n">
        <f aca="false">SUM(G31:G32)</f>
        <v>841500</v>
      </c>
      <c r="H33" s="19"/>
    </row>
    <row r="34" customFormat="false" ht="15" hidden="false" customHeight="true" outlineLevel="0" collapsed="false">
      <c r="A34" s="18" t="s">
        <v>133</v>
      </c>
      <c r="B34" s="18"/>
      <c r="C34" s="18"/>
      <c r="D34" s="18"/>
      <c r="E34" s="18"/>
      <c r="F34" s="18"/>
      <c r="G34" s="18"/>
      <c r="H34" s="18"/>
    </row>
    <row r="35" customFormat="false" ht="15" hidden="false" customHeight="true" outlineLevel="0" collapsed="false">
      <c r="A35" s="19" t="s">
        <v>134</v>
      </c>
      <c r="B35" s="19" t="s">
        <v>135</v>
      </c>
      <c r="C35" s="19" t="s">
        <v>136</v>
      </c>
      <c r="D35" s="20" t="n">
        <v>2400</v>
      </c>
      <c r="E35" s="21" t="n">
        <f aca="false">D35*49.5</f>
        <v>118800</v>
      </c>
      <c r="F35" s="22" t="n">
        <v>2</v>
      </c>
      <c r="G35" s="21" t="n">
        <f aca="false">E35*F35</f>
        <v>237600</v>
      </c>
      <c r="H35" s="19" t="s">
        <v>137</v>
      </c>
    </row>
    <row r="36" customFormat="false" ht="15" hidden="false" customHeight="true" outlineLevel="0" collapsed="false">
      <c r="A36" s="19" t="s">
        <v>138</v>
      </c>
      <c r="B36" s="19" t="s">
        <v>139</v>
      </c>
      <c r="C36" s="19" t="s">
        <v>140</v>
      </c>
      <c r="D36" s="20" t="n">
        <v>2880</v>
      </c>
      <c r="E36" s="21" t="n">
        <f aca="false">D36*49.5</f>
        <v>142560</v>
      </c>
      <c r="F36" s="22" t="n">
        <v>1</v>
      </c>
      <c r="G36" s="21" t="n">
        <f aca="false">E36*F36</f>
        <v>142560</v>
      </c>
      <c r="H36" s="19" t="s">
        <v>141</v>
      </c>
    </row>
    <row r="37" customFormat="false" ht="15" hidden="false" customHeight="true" outlineLevel="0" collapsed="false">
      <c r="A37" s="19" t="s">
        <v>142</v>
      </c>
      <c r="B37" s="19" t="s">
        <v>143</v>
      </c>
      <c r="C37" s="19" t="s">
        <v>144</v>
      </c>
      <c r="D37" s="20" t="n">
        <v>3600</v>
      </c>
      <c r="E37" s="21" t="n">
        <f aca="false">D37*49.5</f>
        <v>178200</v>
      </c>
      <c r="F37" s="22" t="n">
        <v>1</v>
      </c>
      <c r="G37" s="21" t="n">
        <f aca="false">E37*F37</f>
        <v>178200</v>
      </c>
      <c r="H37" s="19" t="s">
        <v>145</v>
      </c>
    </row>
    <row r="38" customFormat="false" ht="15" hidden="false" customHeight="true" outlineLevel="0" collapsed="false">
      <c r="A38" s="19" t="s">
        <v>146</v>
      </c>
      <c r="B38" s="19" t="s">
        <v>147</v>
      </c>
      <c r="C38" s="19" t="s">
        <v>148</v>
      </c>
      <c r="D38" s="20" t="n">
        <v>1200</v>
      </c>
      <c r="E38" s="21" t="n">
        <f aca="false">D38*49.5</f>
        <v>59400</v>
      </c>
      <c r="F38" s="22" t="n">
        <v>1</v>
      </c>
      <c r="G38" s="21" t="n">
        <f aca="false">E38*F38</f>
        <v>59400</v>
      </c>
      <c r="H38" s="19" t="s">
        <v>149</v>
      </c>
    </row>
    <row r="39" customFormat="false" ht="15" hidden="false" customHeight="true" outlineLevel="0" collapsed="false">
      <c r="A39" s="19"/>
      <c r="B39" s="23" t="s">
        <v>150</v>
      </c>
      <c r="C39" s="19"/>
      <c r="D39" s="19"/>
      <c r="E39" s="19"/>
      <c r="F39" s="19"/>
      <c r="G39" s="21" t="n">
        <f aca="false">SUM(G35:G38)</f>
        <v>617760</v>
      </c>
      <c r="H39" s="19"/>
    </row>
    <row r="40" customFormat="false" ht="15" hidden="false" customHeight="true" outlineLevel="0" collapsed="false">
      <c r="A40" s="18" t="s">
        <v>151</v>
      </c>
      <c r="B40" s="18"/>
      <c r="C40" s="18"/>
      <c r="D40" s="18"/>
      <c r="E40" s="18"/>
      <c r="F40" s="18"/>
      <c r="G40" s="18"/>
      <c r="H40" s="18"/>
    </row>
    <row r="41" customFormat="false" ht="15" hidden="false" customHeight="true" outlineLevel="0" collapsed="false">
      <c r="A41" s="19" t="s">
        <v>152</v>
      </c>
      <c r="B41" s="19" t="s">
        <v>153</v>
      </c>
      <c r="C41" s="19" t="s">
        <v>154</v>
      </c>
      <c r="D41" s="20" t="n">
        <v>125</v>
      </c>
      <c r="E41" s="21" t="n">
        <f aca="false">D41*49.5</f>
        <v>6187.5</v>
      </c>
      <c r="F41" s="22" t="n">
        <v>280</v>
      </c>
      <c r="G41" s="21" t="n">
        <f aca="false">E41*F41</f>
        <v>1732500</v>
      </c>
      <c r="H41" s="19" t="s">
        <v>155</v>
      </c>
    </row>
    <row r="42" customFormat="false" ht="15" hidden="false" customHeight="true" outlineLevel="0" collapsed="false">
      <c r="A42" s="19" t="s">
        <v>156</v>
      </c>
      <c r="B42" s="19" t="s">
        <v>157</v>
      </c>
      <c r="C42" s="19" t="s">
        <v>158</v>
      </c>
      <c r="D42" s="20" t="n">
        <v>485</v>
      </c>
      <c r="E42" s="21" t="n">
        <f aca="false">D42*49.5</f>
        <v>24007.5</v>
      </c>
      <c r="F42" s="22" t="n">
        <v>15</v>
      </c>
      <c r="G42" s="21" t="n">
        <f aca="false">E42*F42</f>
        <v>360112.5</v>
      </c>
      <c r="H42" s="19" t="s">
        <v>159</v>
      </c>
    </row>
    <row r="43" customFormat="false" ht="15" hidden="false" customHeight="true" outlineLevel="0" collapsed="false">
      <c r="A43" s="19" t="s">
        <v>160</v>
      </c>
      <c r="B43" s="19" t="s">
        <v>161</v>
      </c>
      <c r="C43" s="19" t="s">
        <v>162</v>
      </c>
      <c r="D43" s="20" t="n">
        <v>220</v>
      </c>
      <c r="E43" s="21" t="n">
        <f aca="false">D43*49.5</f>
        <v>10890</v>
      </c>
      <c r="F43" s="22" t="n">
        <v>40</v>
      </c>
      <c r="G43" s="21" t="n">
        <f aca="false">E43*F43</f>
        <v>435600</v>
      </c>
      <c r="H43" s="19" t="s">
        <v>163</v>
      </c>
    </row>
    <row r="44" customFormat="false" ht="15" hidden="false" customHeight="true" outlineLevel="0" collapsed="false">
      <c r="A44" s="19" t="s">
        <v>164</v>
      </c>
      <c r="B44" s="19" t="s">
        <v>165</v>
      </c>
      <c r="C44" s="19" t="s">
        <v>166</v>
      </c>
      <c r="D44" s="20" t="n">
        <v>280</v>
      </c>
      <c r="E44" s="21" t="n">
        <f aca="false">D44*49.5</f>
        <v>13860</v>
      </c>
      <c r="F44" s="22" t="n">
        <v>10</v>
      </c>
      <c r="G44" s="21" t="n">
        <f aca="false">E44*F44</f>
        <v>138600</v>
      </c>
      <c r="H44" s="19" t="s">
        <v>167</v>
      </c>
    </row>
    <row r="45" customFormat="false" ht="15" hidden="false" customHeight="true" outlineLevel="0" collapsed="false">
      <c r="A45" s="19" t="s">
        <v>168</v>
      </c>
      <c r="B45" s="19" t="s">
        <v>169</v>
      </c>
      <c r="C45" s="19" t="s">
        <v>170</v>
      </c>
      <c r="D45" s="20" t="n">
        <v>420</v>
      </c>
      <c r="E45" s="21" t="n">
        <f aca="false">D45*49.5</f>
        <v>20790</v>
      </c>
      <c r="F45" s="22" t="n">
        <v>6</v>
      </c>
      <c r="G45" s="21" t="n">
        <f aca="false">E45*F45</f>
        <v>124740</v>
      </c>
      <c r="H45" s="19" t="s">
        <v>171</v>
      </c>
    </row>
    <row r="46" customFormat="false" ht="15" hidden="false" customHeight="true" outlineLevel="0" collapsed="false">
      <c r="A46" s="19" t="s">
        <v>172</v>
      </c>
      <c r="B46" s="19" t="s">
        <v>173</v>
      </c>
      <c r="C46" s="19" t="s">
        <v>174</v>
      </c>
      <c r="D46" s="20" t="n">
        <v>65</v>
      </c>
      <c r="E46" s="21" t="n">
        <f aca="false">D46*49.5</f>
        <v>3217.5</v>
      </c>
      <c r="F46" s="22" t="n">
        <v>120</v>
      </c>
      <c r="G46" s="21" t="n">
        <f aca="false">E46*F46</f>
        <v>386100</v>
      </c>
      <c r="H46" s="19" t="s">
        <v>175</v>
      </c>
    </row>
    <row r="47" customFormat="false" ht="15" hidden="false" customHeight="true" outlineLevel="0" collapsed="false">
      <c r="A47" s="19" t="s">
        <v>176</v>
      </c>
      <c r="B47" s="19" t="s">
        <v>177</v>
      </c>
      <c r="C47" s="19" t="s">
        <v>178</v>
      </c>
      <c r="D47" s="20" t="n">
        <v>22</v>
      </c>
      <c r="E47" s="21" t="n">
        <f aca="false">D47*49.5</f>
        <v>1089</v>
      </c>
      <c r="F47" s="22" t="n">
        <v>280</v>
      </c>
      <c r="G47" s="21" t="n">
        <f aca="false">E47*F47</f>
        <v>304920</v>
      </c>
      <c r="H47" s="19" t="s">
        <v>179</v>
      </c>
    </row>
    <row r="48" customFormat="false" ht="15" hidden="false" customHeight="true" outlineLevel="0" collapsed="false">
      <c r="A48" s="19" t="s">
        <v>180</v>
      </c>
      <c r="B48" s="19" t="s">
        <v>181</v>
      </c>
      <c r="C48" s="19" t="s">
        <v>182</v>
      </c>
      <c r="D48" s="20" t="n">
        <v>1800</v>
      </c>
      <c r="E48" s="21" t="n">
        <f aca="false">D48*49.5</f>
        <v>89100</v>
      </c>
      <c r="F48" s="22" t="n">
        <v>1</v>
      </c>
      <c r="G48" s="21" t="n">
        <f aca="false">E48*F48</f>
        <v>89100</v>
      </c>
      <c r="H48" s="19" t="s">
        <v>183</v>
      </c>
    </row>
    <row r="49" customFormat="false" ht="15" hidden="false" customHeight="true" outlineLevel="0" collapsed="false">
      <c r="A49" s="19"/>
      <c r="B49" s="23" t="s">
        <v>184</v>
      </c>
      <c r="C49" s="19"/>
      <c r="D49" s="19"/>
      <c r="E49" s="19"/>
      <c r="F49" s="19"/>
      <c r="G49" s="21" t="n">
        <f aca="false">SUM(G41:G48)</f>
        <v>3571672.5</v>
      </c>
      <c r="H49" s="19"/>
    </row>
    <row r="50" customFormat="false" ht="15" hidden="false" customHeight="true" outlineLevel="0" collapsed="false">
      <c r="A50" s="18" t="s">
        <v>185</v>
      </c>
      <c r="B50" s="18"/>
      <c r="C50" s="18"/>
      <c r="D50" s="18"/>
      <c r="E50" s="18"/>
      <c r="F50" s="18"/>
      <c r="G50" s="18"/>
      <c r="H50" s="18"/>
    </row>
    <row r="51" customFormat="false" ht="15" hidden="false" customHeight="true" outlineLevel="0" collapsed="false">
      <c r="A51" s="19" t="s">
        <v>186</v>
      </c>
      <c r="B51" s="19" t="s">
        <v>187</v>
      </c>
      <c r="C51" s="19" t="s">
        <v>188</v>
      </c>
      <c r="D51" s="20" t="n">
        <v>980</v>
      </c>
      <c r="E51" s="21" t="n">
        <f aca="false">D51*49.5</f>
        <v>48510</v>
      </c>
      <c r="F51" s="22" t="n">
        <v>70</v>
      </c>
      <c r="G51" s="21" t="n">
        <f aca="false">E51*F51</f>
        <v>3395700</v>
      </c>
      <c r="H51" s="19" t="s">
        <v>189</v>
      </c>
    </row>
    <row r="52" customFormat="false" ht="15" hidden="false" customHeight="true" outlineLevel="0" collapsed="false">
      <c r="A52" s="19" t="s">
        <v>190</v>
      </c>
      <c r="B52" s="19" t="s">
        <v>191</v>
      </c>
      <c r="C52" s="19" t="s">
        <v>192</v>
      </c>
      <c r="D52" s="20" t="n">
        <v>1450</v>
      </c>
      <c r="E52" s="21" t="n">
        <f aca="false">D52*49.5</f>
        <v>71775</v>
      </c>
      <c r="F52" s="22" t="n">
        <v>45</v>
      </c>
      <c r="G52" s="21" t="n">
        <f aca="false">E52*F52</f>
        <v>3229875</v>
      </c>
      <c r="H52" s="19" t="s">
        <v>193</v>
      </c>
    </row>
    <row r="53" customFormat="false" ht="15" hidden="false" customHeight="true" outlineLevel="0" collapsed="false">
      <c r="A53" s="19" t="s">
        <v>194</v>
      </c>
      <c r="B53" s="19" t="s">
        <v>195</v>
      </c>
      <c r="C53" s="19" t="s">
        <v>196</v>
      </c>
      <c r="D53" s="20" t="n">
        <v>420</v>
      </c>
      <c r="E53" s="21" t="n">
        <f aca="false">D53*49.5</f>
        <v>20790</v>
      </c>
      <c r="F53" s="22" t="n">
        <v>38</v>
      </c>
      <c r="G53" s="21" t="n">
        <f aca="false">E53*F53</f>
        <v>790020</v>
      </c>
      <c r="H53" s="19" t="s">
        <v>197</v>
      </c>
    </row>
    <row r="54" customFormat="false" ht="15" hidden="false" customHeight="true" outlineLevel="0" collapsed="false">
      <c r="A54" s="19" t="s">
        <v>198</v>
      </c>
      <c r="B54" s="19" t="s">
        <v>199</v>
      </c>
      <c r="C54" s="19" t="s">
        <v>200</v>
      </c>
      <c r="D54" s="20" t="n">
        <v>520</v>
      </c>
      <c r="E54" s="21" t="n">
        <f aca="false">D54*49.5</f>
        <v>25740</v>
      </c>
      <c r="F54" s="22" t="n">
        <v>35</v>
      </c>
      <c r="G54" s="21" t="n">
        <f aca="false">E54*F54</f>
        <v>900900</v>
      </c>
      <c r="H54" s="19" t="s">
        <v>201</v>
      </c>
    </row>
    <row r="55" customFormat="false" ht="15" hidden="false" customHeight="true" outlineLevel="0" collapsed="false">
      <c r="A55" s="19" t="s">
        <v>202</v>
      </c>
      <c r="B55" s="19" t="s">
        <v>203</v>
      </c>
      <c r="C55" s="19" t="s">
        <v>204</v>
      </c>
      <c r="D55" s="20" t="n">
        <v>680</v>
      </c>
      <c r="E55" s="21" t="n">
        <f aca="false">D55*49.5</f>
        <v>33660</v>
      </c>
      <c r="F55" s="22" t="n">
        <v>28</v>
      </c>
      <c r="G55" s="21" t="n">
        <f aca="false">E55*F55</f>
        <v>942480</v>
      </c>
      <c r="H55" s="19" t="s">
        <v>205</v>
      </c>
    </row>
    <row r="56" customFormat="false" ht="15" hidden="false" customHeight="true" outlineLevel="0" collapsed="false">
      <c r="A56" s="19" t="s">
        <v>206</v>
      </c>
      <c r="B56" s="19" t="s">
        <v>207</v>
      </c>
      <c r="C56" s="19" t="s">
        <v>208</v>
      </c>
      <c r="D56" s="20" t="n">
        <v>195</v>
      </c>
      <c r="E56" s="21" t="n">
        <f aca="false">D56*49.5</f>
        <v>9652.5</v>
      </c>
      <c r="F56" s="22" t="n">
        <v>70</v>
      </c>
      <c r="G56" s="21" t="n">
        <f aca="false">E56*F56</f>
        <v>675675</v>
      </c>
      <c r="H56" s="19" t="s">
        <v>209</v>
      </c>
    </row>
    <row r="57" customFormat="false" ht="15" hidden="false" customHeight="true" outlineLevel="0" collapsed="false">
      <c r="A57" s="19" t="s">
        <v>210</v>
      </c>
      <c r="B57" s="19" t="s">
        <v>211</v>
      </c>
      <c r="C57" s="19" t="s">
        <v>212</v>
      </c>
      <c r="D57" s="20" t="n">
        <v>35</v>
      </c>
      <c r="E57" s="21" t="n">
        <f aca="false">D57*49.5</f>
        <v>1732.5</v>
      </c>
      <c r="F57" s="22" t="n">
        <v>70</v>
      </c>
      <c r="G57" s="21" t="n">
        <f aca="false">E57*F57</f>
        <v>121275</v>
      </c>
      <c r="H57" s="19" t="s">
        <v>213</v>
      </c>
    </row>
    <row r="58" customFormat="false" ht="15" hidden="false" customHeight="true" outlineLevel="0" collapsed="false">
      <c r="A58" s="19" t="s">
        <v>214</v>
      </c>
      <c r="B58" s="19" t="s">
        <v>215</v>
      </c>
      <c r="C58" s="19" t="s">
        <v>216</v>
      </c>
      <c r="D58" s="20" t="n">
        <v>95</v>
      </c>
      <c r="E58" s="21" t="n">
        <f aca="false">D58*49.5</f>
        <v>4702.5</v>
      </c>
      <c r="F58" s="22" t="n">
        <v>25</v>
      </c>
      <c r="G58" s="21" t="n">
        <f aca="false">E58*F58</f>
        <v>117562.5</v>
      </c>
      <c r="H58" s="19" t="s">
        <v>217</v>
      </c>
    </row>
    <row r="59" customFormat="false" ht="15" hidden="false" customHeight="true" outlineLevel="0" collapsed="false">
      <c r="A59" s="19" t="s">
        <v>218</v>
      </c>
      <c r="B59" s="19" t="s">
        <v>219</v>
      </c>
      <c r="C59" s="19" t="s">
        <v>220</v>
      </c>
      <c r="D59" s="20" t="n">
        <v>120</v>
      </c>
      <c r="E59" s="21" t="n">
        <f aca="false">D59*49.5</f>
        <v>5940</v>
      </c>
      <c r="F59" s="22" t="n">
        <v>50</v>
      </c>
      <c r="G59" s="21" t="n">
        <f aca="false">E59*F59</f>
        <v>297000</v>
      </c>
      <c r="H59" s="19" t="s">
        <v>221</v>
      </c>
    </row>
    <row r="60" customFormat="false" ht="15" hidden="false" customHeight="true" outlineLevel="0" collapsed="false">
      <c r="A60" s="19"/>
      <c r="B60" s="23" t="s">
        <v>222</v>
      </c>
      <c r="C60" s="19"/>
      <c r="D60" s="19"/>
      <c r="E60" s="19"/>
      <c r="F60" s="19"/>
      <c r="G60" s="21" t="n">
        <f aca="false">SUM(G51:G59)</f>
        <v>10470487.5</v>
      </c>
      <c r="H60" s="19"/>
    </row>
    <row r="61" customFormat="false" ht="15" hidden="false" customHeight="true" outlineLevel="0" collapsed="false">
      <c r="A61" s="18" t="s">
        <v>223</v>
      </c>
      <c r="B61" s="18"/>
      <c r="C61" s="18"/>
      <c r="D61" s="18"/>
      <c r="E61" s="18"/>
      <c r="F61" s="18"/>
      <c r="G61" s="18"/>
      <c r="H61" s="18"/>
    </row>
    <row r="62" customFormat="false" ht="15" hidden="false" customHeight="true" outlineLevel="0" collapsed="false">
      <c r="A62" s="19" t="s">
        <v>224</v>
      </c>
      <c r="B62" s="19" t="s">
        <v>225</v>
      </c>
      <c r="C62" s="19" t="s">
        <v>226</v>
      </c>
      <c r="D62" s="20" t="n">
        <v>240000</v>
      </c>
      <c r="E62" s="21" t="n">
        <f aca="false">D62</f>
        <v>240000</v>
      </c>
      <c r="F62" s="22" t="n">
        <v>1</v>
      </c>
      <c r="G62" s="21" t="n">
        <f aca="false">E62*F62</f>
        <v>240000</v>
      </c>
      <c r="H62" s="19" t="s">
        <v>227</v>
      </c>
    </row>
    <row r="63" customFormat="false" ht="15" hidden="false" customHeight="true" outlineLevel="0" collapsed="false">
      <c r="A63" s="19" t="s">
        <v>228</v>
      </c>
      <c r="B63" s="19" t="s">
        <v>229</v>
      </c>
      <c r="C63" s="19" t="s">
        <v>230</v>
      </c>
      <c r="D63" s="20" t="n">
        <v>640000</v>
      </c>
      <c r="E63" s="21" t="n">
        <f aca="false">D63</f>
        <v>640000</v>
      </c>
      <c r="F63" s="22" t="n">
        <v>1</v>
      </c>
      <c r="G63" s="21" t="n">
        <f aca="false">E63*F63</f>
        <v>640000</v>
      </c>
      <c r="H63" s="19" t="s">
        <v>231</v>
      </c>
    </row>
    <row r="64" customFormat="false" ht="15" hidden="false" customHeight="true" outlineLevel="0" collapsed="false">
      <c r="A64" s="19" t="s">
        <v>232</v>
      </c>
      <c r="B64" s="19" t="s">
        <v>233</v>
      </c>
      <c r="C64" s="19" t="s">
        <v>234</v>
      </c>
      <c r="D64" s="20" t="n">
        <v>350000</v>
      </c>
      <c r="E64" s="21" t="n">
        <f aca="false">D64</f>
        <v>350000</v>
      </c>
      <c r="F64" s="22" t="n">
        <v>1</v>
      </c>
      <c r="G64" s="21" t="n">
        <f aca="false">E64*F64</f>
        <v>350000</v>
      </c>
      <c r="H64" s="19" t="s">
        <v>235</v>
      </c>
    </row>
    <row r="65" customFormat="false" ht="15" hidden="false" customHeight="true" outlineLevel="0" collapsed="false">
      <c r="A65" s="19" t="s">
        <v>236</v>
      </c>
      <c r="B65" s="19" t="s">
        <v>237</v>
      </c>
      <c r="C65" s="19" t="s">
        <v>238</v>
      </c>
      <c r="D65" s="20" t="n">
        <v>420000</v>
      </c>
      <c r="E65" s="21" t="n">
        <f aca="false">D65</f>
        <v>420000</v>
      </c>
      <c r="F65" s="22" t="n">
        <v>1</v>
      </c>
      <c r="G65" s="21" t="n">
        <f aca="false">E65*F65</f>
        <v>420000</v>
      </c>
      <c r="H65" s="19" t="s">
        <v>239</v>
      </c>
    </row>
    <row r="66" customFormat="false" ht="15" hidden="false" customHeight="true" outlineLevel="0" collapsed="false">
      <c r="A66" s="19" t="s">
        <v>240</v>
      </c>
      <c r="B66" s="19" t="s">
        <v>241</v>
      </c>
      <c r="C66" s="19" t="s">
        <v>242</v>
      </c>
      <c r="D66" s="20" t="n">
        <v>85000</v>
      </c>
      <c r="E66" s="21" t="n">
        <f aca="false">D66</f>
        <v>85000</v>
      </c>
      <c r="F66" s="22" t="n">
        <v>1</v>
      </c>
      <c r="G66" s="21" t="n">
        <f aca="false">E66*F66</f>
        <v>85000</v>
      </c>
      <c r="H66" s="19" t="s">
        <v>243</v>
      </c>
    </row>
    <row r="67" customFormat="false" ht="15" hidden="false" customHeight="true" outlineLevel="0" collapsed="false">
      <c r="A67" s="19" t="s">
        <v>244</v>
      </c>
      <c r="B67" s="19" t="s">
        <v>245</v>
      </c>
      <c r="C67" s="19" t="s">
        <v>246</v>
      </c>
      <c r="D67" s="20" t="n">
        <v>360000</v>
      </c>
      <c r="E67" s="21" t="n">
        <f aca="false">D67</f>
        <v>360000</v>
      </c>
      <c r="F67" s="22" t="n">
        <v>1</v>
      </c>
      <c r="G67" s="21" t="n">
        <f aca="false">E67*F67</f>
        <v>360000</v>
      </c>
      <c r="H67" s="19" t="s">
        <v>247</v>
      </c>
    </row>
    <row r="68" customFormat="false" ht="15" hidden="false" customHeight="true" outlineLevel="0" collapsed="false">
      <c r="A68" s="19" t="s">
        <v>248</v>
      </c>
      <c r="B68" s="19" t="s">
        <v>249</v>
      </c>
      <c r="C68" s="19" t="s">
        <v>250</v>
      </c>
      <c r="D68" s="20" t="n">
        <v>90000</v>
      </c>
      <c r="E68" s="21" t="n">
        <f aca="false">D68</f>
        <v>90000</v>
      </c>
      <c r="F68" s="22" t="n">
        <v>1</v>
      </c>
      <c r="G68" s="21" t="n">
        <f aca="false">E68*F68</f>
        <v>90000</v>
      </c>
      <c r="H68" s="19" t="s">
        <v>251</v>
      </c>
    </row>
    <row r="69" customFormat="false" ht="15" hidden="false" customHeight="true" outlineLevel="0" collapsed="false">
      <c r="A69" s="19" t="s">
        <v>252</v>
      </c>
      <c r="B69" s="19" t="s">
        <v>253</v>
      </c>
      <c r="C69" s="19" t="s">
        <v>254</v>
      </c>
      <c r="D69" s="20" t="n">
        <v>120000</v>
      </c>
      <c r="E69" s="21" t="n">
        <f aca="false">D69</f>
        <v>120000</v>
      </c>
      <c r="F69" s="22" t="n">
        <v>1</v>
      </c>
      <c r="G69" s="21" t="n">
        <f aca="false">E69*F69</f>
        <v>120000</v>
      </c>
      <c r="H69" s="19" t="s">
        <v>255</v>
      </c>
    </row>
    <row r="70" customFormat="false" ht="15" hidden="false" customHeight="true" outlineLevel="0" collapsed="false">
      <c r="A70" s="19" t="s">
        <v>256</v>
      </c>
      <c r="B70" s="19" t="s">
        <v>257</v>
      </c>
      <c r="C70" s="19" t="s">
        <v>258</v>
      </c>
      <c r="D70" s="20" t="n">
        <v>267900</v>
      </c>
      <c r="E70" s="21" t="n">
        <f aca="false">D70</f>
        <v>267900</v>
      </c>
      <c r="F70" s="22" t="n">
        <v>1</v>
      </c>
      <c r="G70" s="21" t="n">
        <f aca="false">E70*F70</f>
        <v>267900</v>
      </c>
      <c r="H70" s="19" t="s">
        <v>259</v>
      </c>
    </row>
    <row r="71" customFormat="false" ht="15" hidden="false" customHeight="true" outlineLevel="0" collapsed="false">
      <c r="A71" s="19"/>
      <c r="B71" s="23" t="s">
        <v>260</v>
      </c>
      <c r="C71" s="19"/>
      <c r="D71" s="19"/>
      <c r="E71" s="19"/>
      <c r="F71" s="19"/>
      <c r="G71" s="21" t="n">
        <f aca="false">SUM(G62:G70)</f>
        <v>2572900</v>
      </c>
      <c r="H71" s="19"/>
    </row>
    <row r="72" customFormat="false" ht="27.75" hidden="false" customHeight="true" outlineLevel="0" collapsed="false">
      <c r="A72" s="18" t="s">
        <v>261</v>
      </c>
      <c r="B72" s="18"/>
      <c r="C72" s="18"/>
      <c r="D72" s="18"/>
      <c r="E72" s="18"/>
      <c r="F72" s="18"/>
      <c r="G72" s="18"/>
      <c r="H72" s="18"/>
    </row>
    <row r="73" customFormat="false" ht="15" hidden="false" customHeight="true" outlineLevel="0" collapsed="false">
      <c r="A73" s="19" t="s">
        <v>262</v>
      </c>
      <c r="B73" s="19" t="s">
        <v>263</v>
      </c>
      <c r="C73" s="19" t="s">
        <v>264</v>
      </c>
      <c r="D73" s="20" t="n">
        <v>48000</v>
      </c>
      <c r="E73" s="21" t="n">
        <f aca="false">D73*49.5</f>
        <v>2376000</v>
      </c>
      <c r="F73" s="22" t="n">
        <v>1</v>
      </c>
      <c r="G73" s="21" t="n">
        <f aca="false">E73*F73</f>
        <v>2376000</v>
      </c>
      <c r="H73" s="19" t="s">
        <v>265</v>
      </c>
    </row>
    <row r="74" customFormat="false" ht="15" hidden="false" customHeight="true" outlineLevel="0" collapsed="false">
      <c r="A74" s="19" t="s">
        <v>266</v>
      </c>
      <c r="B74" s="19" t="s">
        <v>267</v>
      </c>
      <c r="C74" s="19" t="s">
        <v>268</v>
      </c>
      <c r="D74" s="20" t="n">
        <v>12000</v>
      </c>
      <c r="E74" s="21" t="n">
        <f aca="false">D74*49.5</f>
        <v>594000</v>
      </c>
      <c r="F74" s="22" t="n">
        <v>1</v>
      </c>
      <c r="G74" s="21" t="n">
        <f aca="false">E74*F74</f>
        <v>594000</v>
      </c>
      <c r="H74" s="19" t="s">
        <v>269</v>
      </c>
    </row>
    <row r="75" customFormat="false" ht="15" hidden="false" customHeight="true" outlineLevel="0" collapsed="false">
      <c r="A75" s="19" t="s">
        <v>270</v>
      </c>
      <c r="B75" s="19" t="s">
        <v>271</v>
      </c>
      <c r="C75" s="19" t="s">
        <v>272</v>
      </c>
      <c r="D75" s="20" t="n">
        <v>35</v>
      </c>
      <c r="E75" s="21" t="n">
        <f aca="false">D75*49.5</f>
        <v>1732.5</v>
      </c>
      <c r="F75" s="22" t="n">
        <v>280</v>
      </c>
      <c r="G75" s="21" t="n">
        <f aca="false">E75*F75</f>
        <v>485100</v>
      </c>
      <c r="H75" s="19" t="s">
        <v>273</v>
      </c>
    </row>
    <row r="76" customFormat="false" ht="15" hidden="false" customHeight="true" outlineLevel="0" collapsed="false">
      <c r="A76" s="19" t="s">
        <v>274</v>
      </c>
      <c r="B76" s="19" t="s">
        <v>275</v>
      </c>
      <c r="C76" s="19" t="s">
        <v>276</v>
      </c>
      <c r="D76" s="20" t="n">
        <v>24</v>
      </c>
      <c r="E76" s="21" t="n">
        <f aca="false">D76*49.5</f>
        <v>1188</v>
      </c>
      <c r="F76" s="22" t="n">
        <v>150</v>
      </c>
      <c r="G76" s="21" t="n">
        <f aca="false">E76*F76</f>
        <v>178200</v>
      </c>
      <c r="H76" s="19" t="s">
        <v>277</v>
      </c>
    </row>
    <row r="77" customFormat="false" ht="15" hidden="false" customHeight="true" outlineLevel="0" collapsed="false">
      <c r="A77" s="19" t="s">
        <v>278</v>
      </c>
      <c r="B77" s="19" t="s">
        <v>279</v>
      </c>
      <c r="C77" s="19" t="s">
        <v>280</v>
      </c>
      <c r="D77" s="20" t="n">
        <v>42</v>
      </c>
      <c r="E77" s="21" t="n">
        <f aca="false">D77*49.5</f>
        <v>2079</v>
      </c>
      <c r="F77" s="22" t="n">
        <v>280</v>
      </c>
      <c r="G77" s="21" t="n">
        <f aca="false">E77*F77</f>
        <v>582120</v>
      </c>
      <c r="H77" s="19" t="s">
        <v>281</v>
      </c>
    </row>
    <row r="78" customFormat="false" ht="15" hidden="false" customHeight="true" outlineLevel="0" collapsed="false">
      <c r="A78" s="19" t="s">
        <v>282</v>
      </c>
      <c r="B78" s="19" t="s">
        <v>283</v>
      </c>
      <c r="C78" s="19" t="s">
        <v>284</v>
      </c>
      <c r="D78" s="20" t="n">
        <v>8500</v>
      </c>
      <c r="E78" s="21" t="n">
        <f aca="false">D78*49.5</f>
        <v>420750</v>
      </c>
      <c r="F78" s="22" t="n">
        <v>1</v>
      </c>
      <c r="G78" s="21" t="n">
        <f aca="false">E78*F78</f>
        <v>420750</v>
      </c>
      <c r="H78" s="19" t="s">
        <v>285</v>
      </c>
    </row>
    <row r="79" customFormat="false" ht="15" hidden="false" customHeight="true" outlineLevel="0" collapsed="false">
      <c r="A79" s="19" t="s">
        <v>286</v>
      </c>
      <c r="B79" s="19" t="s">
        <v>287</v>
      </c>
      <c r="C79" s="19" t="s">
        <v>288</v>
      </c>
      <c r="D79" s="20" t="n">
        <v>6800</v>
      </c>
      <c r="E79" s="21" t="n">
        <f aca="false">D79*49.5</f>
        <v>336600</v>
      </c>
      <c r="F79" s="22" t="n">
        <v>1</v>
      </c>
      <c r="G79" s="21" t="n">
        <f aca="false">E79*F79</f>
        <v>336600</v>
      </c>
      <c r="H79" s="19" t="s">
        <v>289</v>
      </c>
    </row>
    <row r="80" customFormat="false" ht="15" hidden="false" customHeight="true" outlineLevel="0" collapsed="false">
      <c r="A80" s="19" t="s">
        <v>290</v>
      </c>
      <c r="B80" s="19" t="s">
        <v>291</v>
      </c>
      <c r="C80" s="19" t="s">
        <v>292</v>
      </c>
      <c r="D80" s="20" t="n">
        <v>18000</v>
      </c>
      <c r="E80" s="21" t="n">
        <f aca="false">D80*49.5</f>
        <v>891000</v>
      </c>
      <c r="F80" s="22" t="n">
        <v>1</v>
      </c>
      <c r="G80" s="21" t="n">
        <f aca="false">E80*F80</f>
        <v>891000</v>
      </c>
      <c r="H80" s="19" t="s">
        <v>293</v>
      </c>
    </row>
    <row r="81" customFormat="false" ht="15" hidden="false" customHeight="true" outlineLevel="0" collapsed="false">
      <c r="A81" s="19"/>
      <c r="B81" s="23" t="s">
        <v>294</v>
      </c>
      <c r="C81" s="19"/>
      <c r="D81" s="19"/>
      <c r="E81" s="19"/>
      <c r="F81" s="19"/>
      <c r="G81" s="21" t="n">
        <f aca="false">SUM(G73:G80)</f>
        <v>5863770</v>
      </c>
      <c r="H81" s="19"/>
    </row>
    <row r="82" customFormat="false" ht="15" hidden="false" customHeight="true" outlineLevel="0" collapsed="false">
      <c r="A82" s="19"/>
      <c r="B82" s="19"/>
      <c r="C82" s="19"/>
      <c r="D82" s="19"/>
      <c r="E82" s="19"/>
      <c r="F82" s="19"/>
      <c r="G82" s="19"/>
      <c r="H82" s="19"/>
    </row>
    <row r="83" customFormat="false" ht="27.75" hidden="false" customHeight="true" outlineLevel="0" collapsed="false">
      <c r="A83" s="23" t="s">
        <v>295</v>
      </c>
      <c r="B83" s="19"/>
      <c r="C83" s="19"/>
      <c r="D83" s="19"/>
      <c r="E83" s="19"/>
      <c r="F83" s="19"/>
      <c r="G83" s="21" t="n">
        <f aca="false">G81</f>
        <v>5863770</v>
      </c>
      <c r="H83" s="19" t="s">
        <v>296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38"/>
    <col collapsed="false" customWidth="true" hidden="false" outlineLevel="0" max="4" min="4" style="1" width="70"/>
  </cols>
  <sheetData>
    <row r="1" customFormat="false" ht="24.75" hidden="false" customHeight="true" outlineLevel="0" collapsed="false">
      <c r="A1" s="24"/>
      <c r="B1" s="24"/>
      <c r="C1" s="24"/>
      <c r="D1" s="24"/>
    </row>
    <row r="2" customFormat="false" ht="41.25" hidden="false" customHeight="true" outlineLevel="0" collapsed="false">
      <c r="A2" s="18" t="s">
        <v>297</v>
      </c>
      <c r="B2" s="18"/>
      <c r="C2" s="18"/>
      <c r="D2" s="18"/>
    </row>
    <row r="3" customFormat="false" ht="15" hidden="false" customHeight="true" outlineLevel="0" collapsed="false">
      <c r="A3" s="19"/>
      <c r="B3" s="19"/>
      <c r="C3" s="19"/>
      <c r="D3" s="19"/>
    </row>
    <row r="4" customFormat="false" ht="15" hidden="false" customHeight="true" outlineLevel="0" collapsed="false">
      <c r="A4" s="25" t="s">
        <v>2</v>
      </c>
      <c r="B4" s="25" t="s">
        <v>298</v>
      </c>
      <c r="C4" s="25" t="s">
        <v>299</v>
      </c>
      <c r="D4" s="25" t="s">
        <v>300</v>
      </c>
    </row>
    <row r="5" customFormat="false" ht="15" hidden="false" customHeight="true" outlineLevel="0" collapsed="false">
      <c r="A5" s="19"/>
      <c r="B5" s="19"/>
      <c r="C5" s="19"/>
      <c r="D5" s="19"/>
    </row>
    <row r="6" customFormat="false" ht="81.75" hidden="false" customHeight="true" outlineLevel="0" collapsed="false">
      <c r="A6" s="19" t="s">
        <v>301</v>
      </c>
      <c r="B6" s="19" t="s">
        <v>302</v>
      </c>
      <c r="C6" s="19" t="s">
        <v>303</v>
      </c>
      <c r="D6" s="19" t="s">
        <v>304</v>
      </c>
    </row>
    <row r="7" customFormat="false" ht="15" hidden="false" customHeight="true" outlineLevel="0" collapsed="false">
      <c r="A7" s="19"/>
      <c r="B7" s="19"/>
      <c r="C7" s="19"/>
      <c r="D7" s="19"/>
    </row>
    <row r="8" customFormat="false" ht="68.25" hidden="false" customHeight="true" outlineLevel="0" collapsed="false">
      <c r="A8" s="19" t="s">
        <v>305</v>
      </c>
      <c r="B8" s="19" t="s">
        <v>306</v>
      </c>
      <c r="C8" s="19" t="s">
        <v>307</v>
      </c>
      <c r="D8" s="19" t="s">
        <v>308</v>
      </c>
    </row>
    <row r="9" customFormat="false" ht="15" hidden="false" customHeight="true" outlineLevel="0" collapsed="false">
      <c r="A9" s="19"/>
      <c r="B9" s="19"/>
      <c r="C9" s="19"/>
      <c r="D9" s="19"/>
    </row>
    <row r="10" customFormat="false" ht="54.75" hidden="false" customHeight="true" outlineLevel="0" collapsed="false">
      <c r="A10" s="19" t="s">
        <v>124</v>
      </c>
      <c r="B10" s="19" t="s">
        <v>309</v>
      </c>
      <c r="C10" s="19" t="s">
        <v>310</v>
      </c>
      <c r="D10" s="19" t="s">
        <v>311</v>
      </c>
    </row>
    <row r="11" customFormat="false" ht="15" hidden="false" customHeight="true" outlineLevel="0" collapsed="false">
      <c r="A11" s="19"/>
      <c r="B11" s="19"/>
      <c r="C11" s="19"/>
      <c r="D11" s="19"/>
    </row>
    <row r="12" customFormat="false" ht="68.25" hidden="false" customHeight="true" outlineLevel="0" collapsed="false">
      <c r="A12" s="19" t="s">
        <v>312</v>
      </c>
      <c r="B12" s="19" t="s">
        <v>313</v>
      </c>
      <c r="C12" s="19" t="s">
        <v>314</v>
      </c>
      <c r="D12" s="19" t="s">
        <v>315</v>
      </c>
    </row>
    <row r="13" customFormat="false" ht="15" hidden="false" customHeight="true" outlineLevel="0" collapsed="false">
      <c r="A13" s="19"/>
      <c r="B13" s="19"/>
      <c r="C13" s="19"/>
      <c r="D13" s="19"/>
    </row>
    <row r="14" customFormat="false" ht="54.75" hidden="false" customHeight="true" outlineLevel="0" collapsed="false">
      <c r="A14" s="19" t="s">
        <v>316</v>
      </c>
      <c r="B14" s="19" t="s">
        <v>317</v>
      </c>
      <c r="C14" s="19" t="s">
        <v>318</v>
      </c>
      <c r="D14" s="19" t="s">
        <v>319</v>
      </c>
    </row>
    <row r="15" customFormat="false" ht="15" hidden="false" customHeight="true" outlineLevel="0" collapsed="false">
      <c r="A15" s="19"/>
      <c r="B15" s="19"/>
      <c r="C15" s="19"/>
      <c r="D15" s="19"/>
    </row>
    <row r="16" customFormat="false" ht="41.25" hidden="false" customHeight="true" outlineLevel="0" collapsed="false">
      <c r="A16" s="19" t="s">
        <v>320</v>
      </c>
      <c r="B16" s="19" t="s">
        <v>321</v>
      </c>
      <c r="C16" s="19" t="s">
        <v>322</v>
      </c>
      <c r="D16" s="19" t="s">
        <v>323</v>
      </c>
    </row>
    <row r="17" customFormat="false" ht="15" hidden="false" customHeight="true" outlineLevel="0" collapsed="false">
      <c r="A17" s="19"/>
      <c r="B17" s="19"/>
      <c r="C17" s="19"/>
      <c r="D17" s="19"/>
    </row>
    <row r="18" customFormat="false" ht="41.25" hidden="false" customHeight="true" outlineLevel="0" collapsed="false">
      <c r="A18" s="19" t="s">
        <v>324</v>
      </c>
      <c r="B18" s="19" t="s">
        <v>325</v>
      </c>
      <c r="C18" s="19" t="s">
        <v>326</v>
      </c>
      <c r="D18" s="19" t="s">
        <v>327</v>
      </c>
    </row>
    <row r="19" customFormat="false" ht="15" hidden="false" customHeight="true" outlineLevel="0" collapsed="false">
      <c r="A19" s="19"/>
      <c r="B19" s="19"/>
      <c r="C19" s="19"/>
      <c r="D19" s="19"/>
    </row>
    <row r="20" customFormat="false" ht="15" hidden="false" customHeight="true" outlineLevel="0" collapsed="false">
      <c r="A20" s="18"/>
      <c r="B20" s="18"/>
      <c r="C20" s="18"/>
      <c r="D20" s="18"/>
    </row>
    <row r="21" customFormat="false" ht="27.75" hidden="false" customHeight="true" outlineLevel="0" collapsed="false">
      <c r="A21" s="19" t="s">
        <v>328</v>
      </c>
      <c r="B21" s="19"/>
      <c r="C21" s="19"/>
      <c r="D21" s="19"/>
    </row>
    <row r="22" customFormat="false" ht="15" hidden="false" customHeight="true" outlineLevel="0" collapsed="false">
      <c r="A22" s="25"/>
      <c r="B22" s="25"/>
      <c r="C22" s="25"/>
      <c r="D22" s="25"/>
    </row>
    <row r="23" customFormat="false" ht="15" hidden="false" customHeight="true" outlineLevel="0" collapsed="false">
      <c r="A23" s="19" t="s">
        <v>329</v>
      </c>
      <c r="B23" s="21" t="s">
        <v>330</v>
      </c>
      <c r="C23" s="21" t="s">
        <v>331</v>
      </c>
      <c r="D23" s="19" t="s">
        <v>332</v>
      </c>
    </row>
    <row r="24" customFormat="false" ht="27.75" hidden="false" customHeight="true" outlineLevel="0" collapsed="false">
      <c r="A24" s="19" t="s">
        <v>333</v>
      </c>
      <c r="B24" s="21" t="n">
        <v>4200000</v>
      </c>
      <c r="C24" s="21" t="n">
        <v>21000000</v>
      </c>
      <c r="D24" s="19" t="s">
        <v>334</v>
      </c>
    </row>
    <row r="25" customFormat="false" ht="27.75" hidden="false" customHeight="true" outlineLevel="0" collapsed="false">
      <c r="A25" s="19" t="s">
        <v>335</v>
      </c>
      <c r="B25" s="21" t="n">
        <v>5940000</v>
      </c>
      <c r="C25" s="21" t="n">
        <v>29700000</v>
      </c>
      <c r="D25" s="19" t="s">
        <v>336</v>
      </c>
    </row>
    <row r="26" customFormat="false" ht="27.75" hidden="false" customHeight="true" outlineLevel="0" collapsed="false">
      <c r="A26" s="19" t="s">
        <v>337</v>
      </c>
      <c r="B26" s="21" t="n">
        <v>2376000</v>
      </c>
      <c r="C26" s="21" t="n">
        <v>11880000</v>
      </c>
      <c r="D26" s="19" t="s">
        <v>338</v>
      </c>
    </row>
    <row r="27" customFormat="false" ht="27.75" hidden="false" customHeight="true" outlineLevel="0" collapsed="false">
      <c r="A27" s="19" t="s">
        <v>339</v>
      </c>
      <c r="B27" s="21" t="n">
        <v>1188000</v>
      </c>
      <c r="C27" s="21" t="n">
        <v>5940000</v>
      </c>
      <c r="D27" s="19" t="s">
        <v>340</v>
      </c>
    </row>
    <row r="28" customFormat="false" ht="27.75" hidden="false" customHeight="true" outlineLevel="0" collapsed="false">
      <c r="A28" s="19" t="s">
        <v>341</v>
      </c>
      <c r="B28" s="21" t="n">
        <v>950400</v>
      </c>
      <c r="C28" s="21" t="n">
        <v>4752000</v>
      </c>
      <c r="D28" s="19" t="s">
        <v>342</v>
      </c>
    </row>
    <row r="29" customFormat="false" ht="27.75" hidden="false" customHeight="true" outlineLevel="0" collapsed="false">
      <c r="A29" s="19" t="s">
        <v>343</v>
      </c>
      <c r="B29" s="21" t="n">
        <v>1732500</v>
      </c>
      <c r="C29" s="21" t="n">
        <v>8662500</v>
      </c>
      <c r="D29" s="19" t="s">
        <v>344</v>
      </c>
    </row>
    <row r="30" customFormat="false" ht="27.75" hidden="false" customHeight="true" outlineLevel="0" collapsed="false">
      <c r="A30" s="19" t="s">
        <v>345</v>
      </c>
      <c r="B30" s="21" t="n">
        <v>831600</v>
      </c>
      <c r="C30" s="21" t="n">
        <v>4158000</v>
      </c>
      <c r="D30" s="19" t="s">
        <v>346</v>
      </c>
    </row>
    <row r="31" customFormat="false" ht="15" hidden="false" customHeight="true" outlineLevel="0" collapsed="false">
      <c r="A31" s="19" t="s">
        <v>347</v>
      </c>
      <c r="B31" s="19" t="n">
        <v>1732500</v>
      </c>
      <c r="C31" s="19" t="n">
        <v>8662500</v>
      </c>
      <c r="D31" s="19" t="s">
        <v>348</v>
      </c>
    </row>
    <row r="32" customFormat="false" ht="15" hidden="false" customHeight="true" outlineLevel="0" collapsed="false">
      <c r="A32" s="26"/>
      <c r="B32" s="26" t="n">
        <f aca="false">SUM(B24:B31)</f>
        <v>18951000</v>
      </c>
      <c r="C32" s="26" t="n">
        <f aca="false">B32*5</f>
        <v>94755000</v>
      </c>
      <c r="D32" s="26"/>
    </row>
    <row r="33" customFormat="false" ht="15" hidden="false" customHeight="true" outlineLevel="0" collapsed="false">
      <c r="A33" s="19" t="s">
        <v>349</v>
      </c>
      <c r="B33" s="19" t="n">
        <f aca="false">SUM(B23:B30)</f>
        <v>17218500</v>
      </c>
      <c r="C33" s="19" t="n">
        <f aca="false">B32*5</f>
        <v>94755000</v>
      </c>
      <c r="D33" s="19" t="s">
        <v>350</v>
      </c>
    </row>
    <row r="34" customFormat="false" ht="15" hidden="false" customHeight="true" outlineLevel="0" collapsed="false">
      <c r="A34" s="19"/>
      <c r="B34" s="19"/>
      <c r="C34" s="19"/>
      <c r="D34" s="19"/>
    </row>
    <row r="35" customFormat="false" ht="15" hidden="false" customHeight="true" outlineLevel="0" collapsed="false">
      <c r="A35" s="19" t="s">
        <v>351</v>
      </c>
      <c r="B35" s="21" t="n">
        <f aca="false">'Budget Summary'!E18</f>
        <v>39248440</v>
      </c>
      <c r="C35" s="19"/>
      <c r="D35" s="19" t="s">
        <v>352</v>
      </c>
    </row>
    <row r="36" customFormat="false" ht="15" hidden="false" customHeight="true" outlineLevel="0" collapsed="false">
      <c r="A36" s="19" t="s">
        <v>353</v>
      </c>
      <c r="B36" s="21" t="n">
        <f aca="false">'Budget Summary'!E20*5</f>
        <v>29318850</v>
      </c>
      <c r="C36" s="19"/>
      <c r="D36" s="19" t="s">
        <v>354</v>
      </c>
    </row>
    <row r="37" customFormat="false" ht="15" hidden="false" customHeight="true" outlineLevel="0" collapsed="false">
      <c r="A37" s="19" t="s">
        <v>355</v>
      </c>
      <c r="B37" s="21" t="n">
        <f aca="false">B35+B36</f>
        <v>68567290</v>
      </c>
      <c r="C37" s="19"/>
      <c r="D37" s="19" t="s">
        <v>356</v>
      </c>
    </row>
    <row r="38" customFormat="false" ht="15" hidden="false" customHeight="true" outlineLevel="0" collapsed="false">
      <c r="A38" s="19"/>
      <c r="B38" s="19"/>
      <c r="C38" s="19"/>
      <c r="D38" s="19"/>
    </row>
    <row r="39" customFormat="false" ht="15" hidden="false" customHeight="true" outlineLevel="0" collapsed="false">
      <c r="A39" s="26" t="s">
        <v>357</v>
      </c>
      <c r="B39" s="27" t="n">
        <f aca="false">C32-B37</f>
        <v>26187710</v>
      </c>
      <c r="C39" s="26"/>
      <c r="D39" s="26" t="s">
        <v>358</v>
      </c>
    </row>
    <row r="40" customFormat="false" ht="15" hidden="false" customHeight="true" outlineLevel="0" collapsed="false">
      <c r="A40" s="19" t="s">
        <v>359</v>
      </c>
      <c r="B40" s="28" t="n">
        <f aca="false">IF(B37&gt;0,(B39/B37)*100,0)</f>
        <v>38.1927155061838</v>
      </c>
      <c r="C40" s="19"/>
      <c r="D40" s="19" t="s">
        <v>360</v>
      </c>
    </row>
    <row r="41" customFormat="false" ht="15" hidden="false" customHeight="true" outlineLevel="0" collapsed="false">
      <c r="A41" s="19" t="s">
        <v>361</v>
      </c>
      <c r="B41" s="29" t="n">
        <f aca="false">IF(B32&gt;0,B37/B32,0)</f>
        <v>3.61813571843175</v>
      </c>
      <c r="C41" s="19"/>
      <c r="D41" s="19" t="s">
        <v>362</v>
      </c>
    </row>
    <row r="42" customFormat="false" ht="15" hidden="false" customHeight="true" outlineLevel="0" collapsed="false">
      <c r="A42" s="19" t="s">
        <v>363</v>
      </c>
      <c r="B42" s="30" t="n">
        <f aca="false">IF(B37&gt;0,C32/B37,0)</f>
        <v>1.38192715506184</v>
      </c>
      <c r="C42" s="19"/>
      <c r="D42" s="19" t="s">
        <v>364</v>
      </c>
    </row>
    <row r="43" customFormat="false" ht="15" hidden="false" customHeight="true" outlineLevel="0" collapsed="false">
      <c r="A43" s="19"/>
      <c r="B43" s="19"/>
      <c r="C43" s="19"/>
      <c r="D43" s="19"/>
    </row>
    <row r="44" customFormat="false" ht="15" hidden="false" customHeight="true" outlineLevel="0" collapsed="false">
      <c r="A44" s="18"/>
      <c r="B44" s="18"/>
      <c r="C44" s="18"/>
      <c r="D44" s="18"/>
    </row>
    <row r="45" customFormat="false" ht="15" hidden="false" customHeight="true" outlineLevel="0" collapsed="false">
      <c r="A45" s="19" t="s">
        <v>365</v>
      </c>
      <c r="B45" s="19"/>
      <c r="C45" s="19"/>
      <c r="D45" s="19"/>
    </row>
    <row r="46" customFormat="false" ht="15" hidden="false" customHeight="true" outlineLevel="0" collapsed="false">
      <c r="A46" s="25"/>
      <c r="B46" s="25"/>
      <c r="C46" s="25"/>
      <c r="D46" s="25"/>
    </row>
    <row r="47" customFormat="false" ht="15" hidden="false" customHeight="true" outlineLevel="0" collapsed="false">
      <c r="A47" s="19" t="s">
        <v>366</v>
      </c>
      <c r="B47" s="19" t="s">
        <v>367</v>
      </c>
      <c r="C47" s="19" t="s">
        <v>368</v>
      </c>
      <c r="D47" s="19" t="s">
        <v>369</v>
      </c>
    </row>
    <row r="48" customFormat="false" ht="15" hidden="false" customHeight="true" outlineLevel="0" collapsed="false">
      <c r="A48" s="19" t="s">
        <v>370</v>
      </c>
      <c r="B48" s="19" t="s">
        <v>371</v>
      </c>
      <c r="C48" s="19" t="s">
        <v>372</v>
      </c>
      <c r="D48" s="19" t="s">
        <v>373</v>
      </c>
    </row>
    <row r="49" customFormat="false" ht="15" hidden="false" customHeight="true" outlineLevel="0" collapsed="false">
      <c r="A49" s="19" t="s">
        <v>374</v>
      </c>
      <c r="B49" s="19" t="s">
        <v>375</v>
      </c>
      <c r="C49" s="19" t="s">
        <v>376</v>
      </c>
      <c r="D49" s="19" t="s">
        <v>377</v>
      </c>
    </row>
    <row r="50" customFormat="false" ht="15" hidden="false" customHeight="true" outlineLevel="0" collapsed="false">
      <c r="A50" s="19" t="s">
        <v>378</v>
      </c>
      <c r="B50" s="19" t="s">
        <v>379</v>
      </c>
      <c r="C50" s="19" t="s">
        <v>380</v>
      </c>
      <c r="D50" s="19" t="s">
        <v>381</v>
      </c>
    </row>
    <row r="51" customFormat="false" ht="15" hidden="false" customHeight="true" outlineLevel="0" collapsed="false">
      <c r="A51" s="19" t="s">
        <v>382</v>
      </c>
      <c r="B51" s="19" t="s">
        <v>383</v>
      </c>
      <c r="C51" s="19" t="s">
        <v>384</v>
      </c>
      <c r="D51" s="19" t="s">
        <v>385</v>
      </c>
    </row>
    <row r="52" customFormat="false" ht="15" hidden="false" customHeight="true" outlineLevel="0" collapsed="false">
      <c r="A52" s="19" t="s">
        <v>386</v>
      </c>
      <c r="B52" s="19" t="s">
        <v>387</v>
      </c>
      <c r="C52" s="19" t="s">
        <v>388</v>
      </c>
      <c r="D52" s="19" t="s">
        <v>389</v>
      </c>
    </row>
    <row r="53" customFormat="false" ht="15" hidden="false" customHeight="true" outlineLevel="0" collapsed="false">
      <c r="A53" s="19" t="s">
        <v>390</v>
      </c>
      <c r="B53" s="19" t="s">
        <v>391</v>
      </c>
      <c r="C53" s="19" t="s">
        <v>392</v>
      </c>
      <c r="D53" s="19" t="s">
        <v>393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2025-12-21T05:04:14Z</dcterms:created>
  <dc:creator>openpyxl</dc:creator>
  <dc:description/>
  <dc:language>en-US</dc:language>
  <cp:lastModifiedBy/>
  <dcterms:modified xsi:type="dcterms:W3CDTF">2025-12-21T05:10:49Z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